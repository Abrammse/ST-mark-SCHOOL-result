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21A9CCA7-6E92-45B1-8EE9-3D664DEC6206}" xr6:coauthVersionLast="47" xr6:coauthVersionMax="47" xr10:uidLastSave="{00000000-0000-0000-0000-000000000000}"/>
  <bookViews>
    <workbookView xWindow="-110" yWindow="-110" windowWidth="19420" windowHeight="11020" tabRatio="732" xr2:uid="{00000000-000D-0000-FFFF-FFFF00000000}"/>
  </bookViews>
  <sheets>
    <sheet name="حضانة" sheetId="6" r:id="rId1"/>
  </sheets>
  <definedNames>
    <definedName name="_xlnm._FilterDatabase" localSheetId="0" hidden="1">حضانة!$A$5:$E$69</definedName>
    <definedName name="_xlnm.Print_Titles" localSheetId="0">حضانة!$1:$4</definedName>
  </definedNames>
  <calcPr calcId="181029"/>
</workbook>
</file>

<file path=xl/calcChain.xml><?xml version="1.0" encoding="utf-8"?>
<calcChain xmlns="http://schemas.openxmlformats.org/spreadsheetml/2006/main">
  <c r="K6" i="6" l="1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K5" i="6"/>
  <c r="J5" i="6"/>
  <c r="I5" i="6"/>
  <c r="H5" i="6"/>
  <c r="G5" i="6"/>
  <c r="L5" i="6" s="1"/>
  <c r="G10" i="6" l="1"/>
  <c r="L10" i="6" s="1"/>
  <c r="G11" i="6"/>
  <c r="L11" i="6" s="1"/>
  <c r="G12" i="6"/>
  <c r="L12" i="6" s="1"/>
  <c r="G13" i="6"/>
  <c r="L13" i="6" s="1"/>
  <c r="G14" i="6"/>
  <c r="L14" i="6" s="1"/>
  <c r="G15" i="6"/>
  <c r="L15" i="6" s="1"/>
  <c r="G16" i="6"/>
  <c r="L16" i="6" s="1"/>
  <c r="G17" i="6"/>
  <c r="L17" i="6" s="1"/>
  <c r="G18" i="6"/>
  <c r="L18" i="6" s="1"/>
  <c r="G19" i="6"/>
  <c r="L19" i="6" s="1"/>
  <c r="G20" i="6"/>
  <c r="L20" i="6" s="1"/>
  <c r="G21" i="6"/>
  <c r="L21" i="6" s="1"/>
  <c r="G22" i="6"/>
  <c r="L22" i="6" s="1"/>
  <c r="G23" i="6"/>
  <c r="L23" i="6" s="1"/>
  <c r="G24" i="6"/>
  <c r="L24" i="6" s="1"/>
  <c r="G25" i="6"/>
  <c r="L25" i="6" s="1"/>
  <c r="G26" i="6"/>
  <c r="L26" i="6" s="1"/>
  <c r="G27" i="6"/>
  <c r="L27" i="6" s="1"/>
  <c r="G28" i="6"/>
  <c r="L28" i="6" s="1"/>
  <c r="G29" i="6"/>
  <c r="L29" i="6" s="1"/>
  <c r="G30" i="6"/>
  <c r="L30" i="6" s="1"/>
  <c r="G31" i="6"/>
  <c r="L31" i="6" s="1"/>
  <c r="G32" i="6"/>
  <c r="L32" i="6" s="1"/>
  <c r="G33" i="6"/>
  <c r="L33" i="6" s="1"/>
  <c r="G34" i="6"/>
  <c r="L34" i="6" s="1"/>
  <c r="G35" i="6"/>
  <c r="L35" i="6" s="1"/>
  <c r="G36" i="6"/>
  <c r="L36" i="6" s="1"/>
  <c r="G37" i="6"/>
  <c r="L37" i="6" s="1"/>
  <c r="G38" i="6"/>
  <c r="L38" i="6" s="1"/>
  <c r="G39" i="6"/>
  <c r="L39" i="6" s="1"/>
  <c r="G40" i="6"/>
  <c r="L40" i="6" s="1"/>
  <c r="G41" i="6"/>
  <c r="L41" i="6" s="1"/>
  <c r="G42" i="6"/>
  <c r="L42" i="6" s="1"/>
  <c r="G43" i="6"/>
  <c r="L43" i="6" s="1"/>
  <c r="G44" i="6"/>
  <c r="L44" i="6" s="1"/>
  <c r="G45" i="6"/>
  <c r="L45" i="6" s="1"/>
  <c r="G46" i="6"/>
  <c r="L46" i="6" s="1"/>
  <c r="G47" i="6"/>
  <c r="L47" i="6" s="1"/>
  <c r="G48" i="6"/>
  <c r="L48" i="6" s="1"/>
  <c r="G49" i="6"/>
  <c r="L49" i="6" s="1"/>
  <c r="G50" i="6"/>
  <c r="L50" i="6" s="1"/>
  <c r="G51" i="6"/>
  <c r="L51" i="6" s="1"/>
  <c r="G52" i="6"/>
  <c r="L52" i="6" s="1"/>
  <c r="G53" i="6"/>
  <c r="L53" i="6" s="1"/>
  <c r="G54" i="6"/>
  <c r="L54" i="6" s="1"/>
  <c r="G55" i="6"/>
  <c r="L55" i="6" s="1"/>
  <c r="G56" i="6"/>
  <c r="L56" i="6" s="1"/>
  <c r="G57" i="6"/>
  <c r="L57" i="6" s="1"/>
  <c r="G58" i="6"/>
  <c r="L58" i="6" s="1"/>
  <c r="G59" i="6"/>
  <c r="L59" i="6" s="1"/>
  <c r="G60" i="6"/>
  <c r="L60" i="6" s="1"/>
  <c r="G61" i="6"/>
  <c r="L61" i="6" s="1"/>
  <c r="G62" i="6"/>
  <c r="L62" i="6" s="1"/>
  <c r="G63" i="6"/>
  <c r="L63" i="6" s="1"/>
  <c r="G64" i="6"/>
  <c r="L64" i="6" s="1"/>
  <c r="G65" i="6"/>
  <c r="L65" i="6" s="1"/>
  <c r="G66" i="6"/>
  <c r="L66" i="6" s="1"/>
  <c r="G67" i="6"/>
  <c r="L67" i="6" s="1"/>
  <c r="G68" i="6"/>
  <c r="L68" i="6" s="1"/>
  <c r="G69" i="6"/>
  <c r="L69" i="6" s="1"/>
  <c r="G7" i="6"/>
  <c r="L7" i="6" s="1"/>
  <c r="G8" i="6"/>
  <c r="L8" i="6" s="1"/>
  <c r="G9" i="6"/>
  <c r="L9" i="6" s="1"/>
  <c r="G6" i="6" l="1"/>
  <c r="L6" i="6" s="1"/>
</calcChain>
</file>

<file path=xl/sharedStrings.xml><?xml version="1.0" encoding="utf-8"?>
<sst xmlns="http://schemas.openxmlformats.org/spreadsheetml/2006/main" count="87" uniqueCount="80">
  <si>
    <t>م</t>
  </si>
  <si>
    <t>الأسم</t>
  </si>
  <si>
    <t>طقس</t>
  </si>
  <si>
    <t>قبطي</t>
  </si>
  <si>
    <t>أجبيه</t>
  </si>
  <si>
    <t>فصل  حضانة</t>
  </si>
  <si>
    <t>كاراس مينا يوسف</t>
  </si>
  <si>
    <t>ابرام باسم عادل</t>
  </si>
  <si>
    <t>فؤاد مؤمن فؤاد</t>
  </si>
  <si>
    <t>جويس عادل حكيم</t>
  </si>
  <si>
    <t>شنودة ميخائيل زكريا</t>
  </si>
  <si>
    <t>بتول لطيف حكيم</t>
  </si>
  <si>
    <t>بولا كيرلس وهيب</t>
  </si>
  <si>
    <t>ايفان عماد جرجس</t>
  </si>
  <si>
    <t>فيرينا أسامة</t>
  </si>
  <si>
    <t>ميرا حنا مدحت</t>
  </si>
  <si>
    <t>اغابى القس بولا</t>
  </si>
  <si>
    <t>افرام عماد جرجس</t>
  </si>
  <si>
    <t>ايفان امير فوزى</t>
  </si>
  <si>
    <t>ايلاريون ابانوب ابراهيم</t>
  </si>
  <si>
    <t>ايمان هانى</t>
  </si>
  <si>
    <t>بارثى إبرام جرجس</t>
  </si>
  <si>
    <t>بارثى رزق الله سليمان</t>
  </si>
  <si>
    <t>بارثينوس وائل ناصح</t>
  </si>
  <si>
    <t>بترنيوس ميخائيل عطية</t>
  </si>
  <si>
    <t>بتول عماد عنتر</t>
  </si>
  <si>
    <t>بتول ممدوح بشير</t>
  </si>
  <si>
    <t>بموا وائل ناصح</t>
  </si>
  <si>
    <t>بولا ايمن شمعون</t>
  </si>
  <si>
    <t>بولا ياسر نصحى</t>
  </si>
  <si>
    <t>بيانكا بيتر اديب</t>
  </si>
  <si>
    <t>توماس كرم</t>
  </si>
  <si>
    <t>توماس مينا انور</t>
  </si>
  <si>
    <t>جاستن وليد راتب</t>
  </si>
  <si>
    <t>جون مينا يوسف</t>
  </si>
  <si>
    <t>جوناثان دانيال كرم</t>
  </si>
  <si>
    <t>جونير عاطف نادى</t>
  </si>
  <si>
    <t>جوى يوسف جميل</t>
  </si>
  <si>
    <t>رافائيل مينا فايق</t>
  </si>
  <si>
    <t>روفينا رومانى</t>
  </si>
  <si>
    <t>رونى رشدى</t>
  </si>
  <si>
    <t>فلتاؤس شحاته شوقى</t>
  </si>
  <si>
    <t>فلتاؤس مكاريوس</t>
  </si>
  <si>
    <t>كاندل امير فوزى</t>
  </si>
  <si>
    <t>كرمة مينا فايق</t>
  </si>
  <si>
    <t>كيرلس رافت لحظى</t>
  </si>
  <si>
    <t>كيرلس رومانى نصحى</t>
  </si>
  <si>
    <t>كيرلس صابر كامل</t>
  </si>
  <si>
    <t>كيرلس عبد المسيح عطية</t>
  </si>
  <si>
    <t>مارك انطونيوس جرجس</t>
  </si>
  <si>
    <t>مارلى هانى عابد</t>
  </si>
  <si>
    <t>مايفل رومانى قديس</t>
  </si>
  <si>
    <t>مريم رضا كامل</t>
  </si>
  <si>
    <t>مريم فرحات عادل</t>
  </si>
  <si>
    <t>مكسيموس ايهاب بشرى</t>
  </si>
  <si>
    <t>مكسيموس ريمون غطاس</t>
  </si>
  <si>
    <t>ميراى مينا عزت</t>
  </si>
  <si>
    <t>ميركل رومانى فتحى</t>
  </si>
  <si>
    <t>ميرولا باسم عيسى</t>
  </si>
  <si>
    <t>نوفير رامى معوض</t>
  </si>
  <si>
    <t>يؤانس حنا شحاته</t>
  </si>
  <si>
    <t>يوسف ريمون ماهر</t>
  </si>
  <si>
    <t>بترونيوس مايكل رؤوف</t>
  </si>
  <si>
    <t>توماس جرجس</t>
  </si>
  <si>
    <t>مارفن روماني</t>
  </si>
  <si>
    <t>ماروسكا روماني</t>
  </si>
  <si>
    <t>ابرام عماد</t>
  </si>
  <si>
    <t>ميرال مينا</t>
  </si>
  <si>
    <t>بولا ميلاد</t>
  </si>
  <si>
    <t>اوليفيا روماني</t>
  </si>
  <si>
    <t>الحان</t>
  </si>
  <si>
    <t>المجموع</t>
  </si>
  <si>
    <t>التقدير العام</t>
  </si>
  <si>
    <t>التقدير</t>
  </si>
  <si>
    <t xml:space="preserve"> الدرجة 10</t>
  </si>
  <si>
    <t>تقديرات الترم الأول ( 2025م - 2026م ) 1742ش</t>
  </si>
  <si>
    <t>جولسيا جميل</t>
  </si>
  <si>
    <t xml:space="preserve">قبطى </t>
  </si>
  <si>
    <t xml:space="preserve">طقس </t>
  </si>
  <si>
    <t>اجبية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</si>
</sst>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sz val="18"/>
      <name val="Calibri"/>
      <family val="2"/>
    </font>
    <font>
      <sz val="20"/>
      <name val="Calibri"/>
      <family val="2"/>
    </font>
    <font>
      <sz val="14"/>
      <name val="Calibri"/>
      <family val="2"/>
    </font>
    <font>
      <sz val="18"/>
      <name val="Calibri"/>
      <family val="2"/>
      <scheme val="minor"/>
    </font>
    <font>
      <sz val="20"/>
      <name val="Calibri"/>
      <family val="2"/>
      <scheme val="minor"/>
    </font>
    <font>
      <b/>
      <sz val="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3" fillId="3" borderId="18" xfId="0" applyNumberFormat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rightToLeft="1" tabSelected="1" zoomScale="90" zoomScaleNormal="90" workbookViewId="0">
      <selection activeCell="E69" sqref="E69"/>
    </sheetView>
  </sheetViews>
  <sheetFormatPr defaultColWidth="7.26953125" defaultRowHeight="23.5" x14ac:dyDescent="0.35"/>
  <cols>
    <col min="1" max="1" width="7" style="3" customWidth="1"/>
    <col min="2" max="2" width="28" style="1" customWidth="1"/>
    <col min="3" max="5" width="12.6328125" style="1" customWidth="1"/>
    <col min="6" max="6" width="10.36328125" style="1" customWidth="1"/>
    <col min="7" max="7" width="10.90625" style="1" bestFit="1" customWidth="1"/>
    <col min="8" max="11" width="12.90625" style="1" customWidth="1"/>
    <col min="12" max="12" width="18.08984375" style="1" bestFit="1" customWidth="1"/>
    <col min="13" max="16384" width="7.26953125" style="1"/>
  </cols>
  <sheetData>
    <row r="1" spans="1:12" x14ac:dyDescent="0.35">
      <c r="A1" s="26" t="s">
        <v>75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4" thickBot="1" x14ac:dyDescent="0.4">
      <c r="A2" s="26" t="s">
        <v>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s="2" customFormat="1" ht="26.5" thickBot="1" x14ac:dyDescent="0.4">
      <c r="A3" s="27" t="s">
        <v>0</v>
      </c>
      <c r="B3" s="27" t="s">
        <v>1</v>
      </c>
      <c r="C3" s="9" t="s">
        <v>77</v>
      </c>
      <c r="D3" s="9" t="s">
        <v>78</v>
      </c>
      <c r="E3" s="9" t="s">
        <v>79</v>
      </c>
      <c r="F3" s="12" t="s">
        <v>70</v>
      </c>
      <c r="G3" s="31" t="s">
        <v>71</v>
      </c>
      <c r="H3" s="13" t="s">
        <v>2</v>
      </c>
      <c r="I3" s="9" t="s">
        <v>4</v>
      </c>
      <c r="J3" s="9" t="s">
        <v>3</v>
      </c>
      <c r="K3" s="9" t="s">
        <v>70</v>
      </c>
      <c r="L3" s="29" t="s">
        <v>72</v>
      </c>
    </row>
    <row r="4" spans="1:12" s="2" customFormat="1" ht="26.5" thickBot="1" x14ac:dyDescent="0.4">
      <c r="A4" s="28"/>
      <c r="B4" s="28"/>
      <c r="C4" s="10" t="s">
        <v>74</v>
      </c>
      <c r="D4" s="10" t="s">
        <v>74</v>
      </c>
      <c r="E4" s="10" t="s">
        <v>74</v>
      </c>
      <c r="F4" s="14" t="s">
        <v>74</v>
      </c>
      <c r="G4" s="32"/>
      <c r="H4" s="15" t="s">
        <v>73</v>
      </c>
      <c r="I4" s="10" t="s">
        <v>73</v>
      </c>
      <c r="J4" s="10" t="s">
        <v>73</v>
      </c>
      <c r="K4" s="10" t="s">
        <v>73</v>
      </c>
      <c r="L4" s="30"/>
    </row>
    <row r="5" spans="1:12" s="2" customFormat="1" ht="26" x14ac:dyDescent="0.35">
      <c r="A5" s="7">
        <v>1</v>
      </c>
      <c r="B5" s="8" t="s">
        <v>7</v>
      </c>
      <c r="C5" s="16">
        <v>10</v>
      </c>
      <c r="D5" s="16">
        <v>10</v>
      </c>
      <c r="E5" s="17">
        <v>10</v>
      </c>
      <c r="F5" s="18">
        <v>70</v>
      </c>
      <c r="G5" s="19">
        <f t="shared" ref="G5:G9" si="0">SUM(C5:F5)</f>
        <v>100</v>
      </c>
      <c r="H5" s="20" t="str">
        <f>IF(C5&gt;=9,"ممتاز",IF(C5&gt;=8,"جيد جداً",IF(C5&gt;=6,"جيد",IF(C5&gt;=5,"مقبول","يُعاد"))))</f>
        <v>ممتاز</v>
      </c>
      <c r="I5" s="20" t="str">
        <f>IF(D5&gt;=9,"ممتاز",IF(D5&gt;=8,"جيد جداً",IF(D5&gt;=6,"جيد",IF(D5&gt;=5,"مقبول","يُعاد"))))</f>
        <v>ممتاز</v>
      </c>
      <c r="J5" s="20" t="str">
        <f>IF(E5&gt;=9,"ممتاز",IF(E5&gt;=8,"جيد جداً",IF(E5&gt;=6,"جيد",IF(E5&gt;=5,"مقبول","يُعاد"))))</f>
        <v>ممتاز</v>
      </c>
      <c r="K5" s="20" t="str">
        <f>IF(F5&gt;=60,"ممتاز",IF(F5&gt;=55,"جيد جداً",IF(F5&gt;=45,"جيد",IF(F5&gt;=35,"مقبول","يُعاد"))))</f>
        <v>ممتاز</v>
      </c>
      <c r="L5" s="24" t="str">
        <f>IF(G5&gt;=90,"ممتاز",IF(G5&gt;=80,"جيد جداً",IF(G5&gt;=60,"جيد",IF(G5&gt;=50,"مقبول","راسب"))))</f>
        <v>ممتاز</v>
      </c>
    </row>
    <row r="6" spans="1:12" ht="26" x14ac:dyDescent="0.35">
      <c r="A6" s="5">
        <v>2</v>
      </c>
      <c r="B6" s="4" t="s">
        <v>16</v>
      </c>
      <c r="C6" s="21">
        <v>6</v>
      </c>
      <c r="D6" s="21">
        <v>10</v>
      </c>
      <c r="E6" s="21">
        <v>5</v>
      </c>
      <c r="F6" s="22">
        <v>53</v>
      </c>
      <c r="G6" s="19">
        <f t="shared" si="0"/>
        <v>74</v>
      </c>
      <c r="H6" s="20" t="str">
        <f t="shared" ref="H6:H69" si="1">IF(C6&gt;=9,"ممتاز",IF(C6&gt;=8,"جيد جداً",IF(C6&gt;=6,"جيد",IF(C6&gt;=5,"مقبول","يُعاد"))))</f>
        <v>جيد</v>
      </c>
      <c r="I6" s="20" t="str">
        <f t="shared" ref="I6:I69" si="2">IF(D6&gt;=9,"ممتاز",IF(D6&gt;=8,"جيد جداً",IF(D6&gt;=6,"جيد",IF(D6&gt;=5,"مقبول","يُعاد"))))</f>
        <v>ممتاز</v>
      </c>
      <c r="J6" s="20" t="str">
        <f t="shared" ref="J6:J69" si="3">IF(E6&gt;=9,"ممتاز",IF(E6&gt;=8,"جيد جداً",IF(E6&gt;=6,"جيد",IF(E6&gt;=5,"مقبول","يُعاد"))))</f>
        <v>مقبول</v>
      </c>
      <c r="K6" s="20" t="str">
        <f t="shared" ref="K6:K69" si="4">IF(F6&gt;=60,"ممتاز",IF(F6&gt;=55,"جيد جداً",IF(F6&gt;=45,"جيد",IF(F6&gt;=35,"مقبول","يُعاد"))))</f>
        <v>جيد</v>
      </c>
      <c r="L6" s="24" t="str">
        <f t="shared" ref="L6:L69" si="5">IF(G6&gt;=90,"ممتاز",IF(G6&gt;=80,"جيد جداً",IF(G6&gt;=60,"جيد",IF(G6&gt;=50,"مقبول","راسب"))))</f>
        <v>جيد</v>
      </c>
    </row>
    <row r="7" spans="1:12" ht="26" x14ac:dyDescent="0.35">
      <c r="A7" s="5">
        <v>3</v>
      </c>
      <c r="B7" s="4" t="s">
        <v>17</v>
      </c>
      <c r="C7" s="21">
        <v>8</v>
      </c>
      <c r="D7" s="21">
        <v>10</v>
      </c>
      <c r="E7" s="21">
        <v>5</v>
      </c>
      <c r="F7" s="22">
        <v>70</v>
      </c>
      <c r="G7" s="19">
        <f t="shared" si="0"/>
        <v>93</v>
      </c>
      <c r="H7" s="20" t="str">
        <f t="shared" si="1"/>
        <v>جيد جداً</v>
      </c>
      <c r="I7" s="20" t="str">
        <f t="shared" si="2"/>
        <v>ممتاز</v>
      </c>
      <c r="J7" s="20" t="str">
        <f t="shared" si="3"/>
        <v>مقبول</v>
      </c>
      <c r="K7" s="20" t="str">
        <f t="shared" si="4"/>
        <v>ممتاز</v>
      </c>
      <c r="L7" s="24" t="str">
        <f t="shared" si="5"/>
        <v>ممتاز</v>
      </c>
    </row>
    <row r="8" spans="1:12" ht="26" x14ac:dyDescent="0.35">
      <c r="A8" s="5">
        <v>4</v>
      </c>
      <c r="B8" s="4" t="s">
        <v>18</v>
      </c>
      <c r="C8" s="21">
        <v>0</v>
      </c>
      <c r="D8" s="21">
        <v>0</v>
      </c>
      <c r="E8" s="21">
        <v>0</v>
      </c>
      <c r="F8" s="22">
        <v>0</v>
      </c>
      <c r="G8" s="19">
        <f t="shared" si="0"/>
        <v>0</v>
      </c>
      <c r="H8" s="20" t="str">
        <f t="shared" si="1"/>
        <v>يُعاد</v>
      </c>
      <c r="I8" s="20" t="str">
        <f t="shared" si="2"/>
        <v>يُعاد</v>
      </c>
      <c r="J8" s="20" t="str">
        <f t="shared" si="3"/>
        <v>يُعاد</v>
      </c>
      <c r="K8" s="20" t="str">
        <f t="shared" si="4"/>
        <v>يُعاد</v>
      </c>
      <c r="L8" s="24" t="str">
        <f t="shared" si="5"/>
        <v>راسب</v>
      </c>
    </row>
    <row r="9" spans="1:12" ht="26" x14ac:dyDescent="0.35">
      <c r="A9" s="5">
        <v>5</v>
      </c>
      <c r="B9" s="4" t="s">
        <v>13</v>
      </c>
      <c r="C9" s="21">
        <v>8</v>
      </c>
      <c r="D9" s="21">
        <v>10</v>
      </c>
      <c r="E9" s="21">
        <v>5</v>
      </c>
      <c r="F9" s="22">
        <v>70</v>
      </c>
      <c r="G9" s="19">
        <f t="shared" si="0"/>
        <v>93</v>
      </c>
      <c r="H9" s="20" t="str">
        <f t="shared" si="1"/>
        <v>جيد جداً</v>
      </c>
      <c r="I9" s="20" t="str">
        <f t="shared" si="2"/>
        <v>ممتاز</v>
      </c>
      <c r="J9" s="20" t="str">
        <f t="shared" si="3"/>
        <v>مقبول</v>
      </c>
      <c r="K9" s="20" t="str">
        <f t="shared" si="4"/>
        <v>ممتاز</v>
      </c>
      <c r="L9" s="24" t="str">
        <f t="shared" si="5"/>
        <v>ممتاز</v>
      </c>
    </row>
    <row r="10" spans="1:12" ht="26" x14ac:dyDescent="0.35">
      <c r="A10" s="5">
        <v>6</v>
      </c>
      <c r="B10" s="4" t="s">
        <v>19</v>
      </c>
      <c r="C10" s="21">
        <v>5</v>
      </c>
      <c r="D10" s="21">
        <v>10</v>
      </c>
      <c r="E10" s="21">
        <v>5</v>
      </c>
      <c r="F10" s="22">
        <v>70</v>
      </c>
      <c r="G10" s="19">
        <f t="shared" ref="G10:G69" si="6">SUM(C10:F10)</f>
        <v>90</v>
      </c>
      <c r="H10" s="20" t="str">
        <f t="shared" si="1"/>
        <v>مقبول</v>
      </c>
      <c r="I10" s="20" t="str">
        <f t="shared" si="2"/>
        <v>ممتاز</v>
      </c>
      <c r="J10" s="20" t="str">
        <f t="shared" si="3"/>
        <v>مقبول</v>
      </c>
      <c r="K10" s="20" t="str">
        <f t="shared" si="4"/>
        <v>ممتاز</v>
      </c>
      <c r="L10" s="24" t="str">
        <f t="shared" si="5"/>
        <v>ممتاز</v>
      </c>
    </row>
    <row r="11" spans="1:12" ht="26" x14ac:dyDescent="0.35">
      <c r="A11" s="5">
        <v>7</v>
      </c>
      <c r="B11" s="4" t="s">
        <v>20</v>
      </c>
      <c r="C11" s="21">
        <v>5</v>
      </c>
      <c r="D11" s="21">
        <v>6</v>
      </c>
      <c r="E11" s="21">
        <v>6</v>
      </c>
      <c r="F11" s="22">
        <v>48</v>
      </c>
      <c r="G11" s="19">
        <f t="shared" si="6"/>
        <v>65</v>
      </c>
      <c r="H11" s="20" t="str">
        <f t="shared" si="1"/>
        <v>مقبول</v>
      </c>
      <c r="I11" s="20" t="str">
        <f t="shared" si="2"/>
        <v>جيد</v>
      </c>
      <c r="J11" s="20" t="str">
        <f t="shared" si="3"/>
        <v>جيد</v>
      </c>
      <c r="K11" s="20" t="str">
        <f t="shared" si="4"/>
        <v>جيد</v>
      </c>
      <c r="L11" s="24" t="str">
        <f t="shared" si="5"/>
        <v>جيد</v>
      </c>
    </row>
    <row r="12" spans="1:12" ht="26" x14ac:dyDescent="0.35">
      <c r="A12" s="5">
        <v>8</v>
      </c>
      <c r="B12" s="4" t="s">
        <v>21</v>
      </c>
      <c r="C12" s="21">
        <v>5</v>
      </c>
      <c r="D12" s="21">
        <v>8</v>
      </c>
      <c r="E12" s="21">
        <v>5</v>
      </c>
      <c r="F12" s="22">
        <v>70</v>
      </c>
      <c r="G12" s="19">
        <f t="shared" si="6"/>
        <v>88</v>
      </c>
      <c r="H12" s="20" t="str">
        <f t="shared" si="1"/>
        <v>مقبول</v>
      </c>
      <c r="I12" s="20" t="str">
        <f t="shared" si="2"/>
        <v>جيد جداً</v>
      </c>
      <c r="J12" s="20" t="str">
        <f t="shared" si="3"/>
        <v>مقبول</v>
      </c>
      <c r="K12" s="20" t="str">
        <f t="shared" si="4"/>
        <v>ممتاز</v>
      </c>
      <c r="L12" s="24" t="str">
        <f t="shared" si="5"/>
        <v>جيد جداً</v>
      </c>
    </row>
    <row r="13" spans="1:12" ht="26" x14ac:dyDescent="0.35">
      <c r="A13" s="5">
        <v>9</v>
      </c>
      <c r="B13" s="4" t="s">
        <v>22</v>
      </c>
      <c r="C13" s="21">
        <v>6</v>
      </c>
      <c r="D13" s="21">
        <v>10</v>
      </c>
      <c r="E13" s="21">
        <v>6</v>
      </c>
      <c r="F13" s="22">
        <v>65</v>
      </c>
      <c r="G13" s="19">
        <f t="shared" si="6"/>
        <v>87</v>
      </c>
      <c r="H13" s="20" t="str">
        <f t="shared" si="1"/>
        <v>جيد</v>
      </c>
      <c r="I13" s="20" t="str">
        <f t="shared" si="2"/>
        <v>ممتاز</v>
      </c>
      <c r="J13" s="20" t="str">
        <f t="shared" si="3"/>
        <v>جيد</v>
      </c>
      <c r="K13" s="20" t="str">
        <f t="shared" si="4"/>
        <v>ممتاز</v>
      </c>
      <c r="L13" s="24" t="str">
        <f t="shared" si="5"/>
        <v>جيد جداً</v>
      </c>
    </row>
    <row r="14" spans="1:12" ht="26" x14ac:dyDescent="0.35">
      <c r="A14" s="5">
        <v>10</v>
      </c>
      <c r="B14" s="4" t="s">
        <v>23</v>
      </c>
      <c r="C14" s="21"/>
      <c r="D14" s="21"/>
      <c r="E14" s="21"/>
      <c r="F14" s="22">
        <v>0</v>
      </c>
      <c r="G14" s="19">
        <f t="shared" si="6"/>
        <v>0</v>
      </c>
      <c r="H14" s="20" t="str">
        <f t="shared" si="1"/>
        <v>يُعاد</v>
      </c>
      <c r="I14" s="20" t="str">
        <f t="shared" si="2"/>
        <v>يُعاد</v>
      </c>
      <c r="J14" s="20" t="str">
        <f t="shared" si="3"/>
        <v>يُعاد</v>
      </c>
      <c r="K14" s="20" t="str">
        <f t="shared" si="4"/>
        <v>يُعاد</v>
      </c>
      <c r="L14" s="24" t="str">
        <f t="shared" si="5"/>
        <v>راسب</v>
      </c>
    </row>
    <row r="15" spans="1:12" ht="26" x14ac:dyDescent="0.35">
      <c r="A15" s="5">
        <v>11</v>
      </c>
      <c r="B15" s="4" t="s">
        <v>24</v>
      </c>
      <c r="C15" s="21">
        <v>10</v>
      </c>
      <c r="D15" s="21">
        <v>10</v>
      </c>
      <c r="E15" s="21">
        <v>7</v>
      </c>
      <c r="F15" s="22">
        <v>70</v>
      </c>
      <c r="G15" s="19">
        <f t="shared" si="6"/>
        <v>97</v>
      </c>
      <c r="H15" s="20" t="str">
        <f t="shared" si="1"/>
        <v>ممتاز</v>
      </c>
      <c r="I15" s="20" t="str">
        <f t="shared" si="2"/>
        <v>ممتاز</v>
      </c>
      <c r="J15" s="20" t="str">
        <f t="shared" si="3"/>
        <v>جيد</v>
      </c>
      <c r="K15" s="20" t="str">
        <f t="shared" si="4"/>
        <v>ممتاز</v>
      </c>
      <c r="L15" s="24" t="str">
        <f t="shared" si="5"/>
        <v>ممتاز</v>
      </c>
    </row>
    <row r="16" spans="1:12" ht="26" x14ac:dyDescent="0.35">
      <c r="A16" s="5">
        <v>12</v>
      </c>
      <c r="B16" s="4" t="s">
        <v>25</v>
      </c>
      <c r="C16" s="21">
        <v>10</v>
      </c>
      <c r="D16" s="21">
        <v>10</v>
      </c>
      <c r="E16" s="21">
        <v>7</v>
      </c>
      <c r="F16" s="22">
        <v>70</v>
      </c>
      <c r="G16" s="19">
        <f t="shared" si="6"/>
        <v>97</v>
      </c>
      <c r="H16" s="20" t="str">
        <f t="shared" si="1"/>
        <v>ممتاز</v>
      </c>
      <c r="I16" s="20" t="str">
        <f t="shared" si="2"/>
        <v>ممتاز</v>
      </c>
      <c r="J16" s="20" t="str">
        <f t="shared" si="3"/>
        <v>جيد</v>
      </c>
      <c r="K16" s="20" t="str">
        <f t="shared" si="4"/>
        <v>ممتاز</v>
      </c>
      <c r="L16" s="24" t="str">
        <f t="shared" si="5"/>
        <v>ممتاز</v>
      </c>
    </row>
    <row r="17" spans="1:12" ht="26" x14ac:dyDescent="0.35">
      <c r="A17" s="5">
        <v>13</v>
      </c>
      <c r="B17" s="4" t="s">
        <v>11</v>
      </c>
      <c r="C17" s="21">
        <v>5</v>
      </c>
      <c r="D17" s="21">
        <v>8</v>
      </c>
      <c r="E17" s="21">
        <v>5</v>
      </c>
      <c r="F17" s="22">
        <v>40</v>
      </c>
      <c r="G17" s="19">
        <f t="shared" si="6"/>
        <v>58</v>
      </c>
      <c r="H17" s="20" t="str">
        <f t="shared" si="1"/>
        <v>مقبول</v>
      </c>
      <c r="I17" s="20" t="str">
        <f t="shared" si="2"/>
        <v>جيد جداً</v>
      </c>
      <c r="J17" s="20" t="str">
        <f t="shared" si="3"/>
        <v>مقبول</v>
      </c>
      <c r="K17" s="20" t="str">
        <f t="shared" si="4"/>
        <v>مقبول</v>
      </c>
      <c r="L17" s="24" t="str">
        <f t="shared" si="5"/>
        <v>مقبول</v>
      </c>
    </row>
    <row r="18" spans="1:12" ht="26" x14ac:dyDescent="0.35">
      <c r="A18" s="5">
        <v>14</v>
      </c>
      <c r="B18" s="4" t="s">
        <v>26</v>
      </c>
      <c r="C18" s="21">
        <v>0</v>
      </c>
      <c r="D18" s="21">
        <v>0</v>
      </c>
      <c r="E18" s="21">
        <v>0</v>
      </c>
      <c r="F18" s="22">
        <v>0</v>
      </c>
      <c r="G18" s="19">
        <f t="shared" si="6"/>
        <v>0</v>
      </c>
      <c r="H18" s="20" t="str">
        <f t="shared" si="1"/>
        <v>يُعاد</v>
      </c>
      <c r="I18" s="20" t="str">
        <f t="shared" si="2"/>
        <v>يُعاد</v>
      </c>
      <c r="J18" s="20" t="str">
        <f t="shared" si="3"/>
        <v>يُعاد</v>
      </c>
      <c r="K18" s="20" t="str">
        <f t="shared" si="4"/>
        <v>يُعاد</v>
      </c>
      <c r="L18" s="24" t="str">
        <f t="shared" si="5"/>
        <v>راسب</v>
      </c>
    </row>
    <row r="19" spans="1:12" ht="26" x14ac:dyDescent="0.35">
      <c r="A19" s="5">
        <v>15</v>
      </c>
      <c r="B19" s="4" t="s">
        <v>27</v>
      </c>
      <c r="C19" s="21">
        <v>0</v>
      </c>
      <c r="D19" s="21">
        <v>0</v>
      </c>
      <c r="E19" s="21">
        <v>0</v>
      </c>
      <c r="F19" s="22">
        <v>0</v>
      </c>
      <c r="G19" s="19">
        <f t="shared" si="6"/>
        <v>0</v>
      </c>
      <c r="H19" s="20" t="str">
        <f t="shared" si="1"/>
        <v>يُعاد</v>
      </c>
      <c r="I19" s="20" t="str">
        <f t="shared" si="2"/>
        <v>يُعاد</v>
      </c>
      <c r="J19" s="20" t="str">
        <f t="shared" si="3"/>
        <v>يُعاد</v>
      </c>
      <c r="K19" s="20" t="str">
        <f t="shared" si="4"/>
        <v>يُعاد</v>
      </c>
      <c r="L19" s="24" t="str">
        <f t="shared" si="5"/>
        <v>راسب</v>
      </c>
    </row>
    <row r="20" spans="1:12" ht="26" x14ac:dyDescent="0.35">
      <c r="A20" s="5">
        <v>16</v>
      </c>
      <c r="B20" s="4" t="s">
        <v>28</v>
      </c>
      <c r="C20" s="21">
        <v>0</v>
      </c>
      <c r="D20" s="21">
        <v>0</v>
      </c>
      <c r="E20" s="21">
        <v>0</v>
      </c>
      <c r="F20" s="22">
        <v>0</v>
      </c>
      <c r="G20" s="19">
        <f t="shared" si="6"/>
        <v>0</v>
      </c>
      <c r="H20" s="20" t="str">
        <f t="shared" si="1"/>
        <v>يُعاد</v>
      </c>
      <c r="I20" s="20" t="str">
        <f t="shared" si="2"/>
        <v>يُعاد</v>
      </c>
      <c r="J20" s="20" t="str">
        <f t="shared" si="3"/>
        <v>يُعاد</v>
      </c>
      <c r="K20" s="20" t="str">
        <f t="shared" si="4"/>
        <v>يُعاد</v>
      </c>
      <c r="L20" s="24" t="str">
        <f t="shared" si="5"/>
        <v>راسب</v>
      </c>
    </row>
    <row r="21" spans="1:12" ht="26" x14ac:dyDescent="0.35">
      <c r="A21" s="5">
        <v>17</v>
      </c>
      <c r="B21" s="4" t="s">
        <v>12</v>
      </c>
      <c r="C21" s="21">
        <v>5</v>
      </c>
      <c r="D21" s="21">
        <v>10</v>
      </c>
      <c r="E21" s="21">
        <v>5</v>
      </c>
      <c r="F21" s="22">
        <v>70</v>
      </c>
      <c r="G21" s="19">
        <f t="shared" si="6"/>
        <v>90</v>
      </c>
      <c r="H21" s="20" t="str">
        <f t="shared" si="1"/>
        <v>مقبول</v>
      </c>
      <c r="I21" s="20" t="str">
        <f t="shared" si="2"/>
        <v>ممتاز</v>
      </c>
      <c r="J21" s="20" t="str">
        <f t="shared" si="3"/>
        <v>مقبول</v>
      </c>
      <c r="K21" s="20" t="str">
        <f t="shared" si="4"/>
        <v>ممتاز</v>
      </c>
      <c r="L21" s="24" t="str">
        <f t="shared" si="5"/>
        <v>ممتاز</v>
      </c>
    </row>
    <row r="22" spans="1:12" ht="26" x14ac:dyDescent="0.35">
      <c r="A22" s="5">
        <v>18</v>
      </c>
      <c r="B22" s="4" t="s">
        <v>29</v>
      </c>
      <c r="C22" s="21">
        <v>8</v>
      </c>
      <c r="D22" s="21">
        <v>10</v>
      </c>
      <c r="E22" s="21">
        <v>6</v>
      </c>
      <c r="F22" s="22">
        <v>70</v>
      </c>
      <c r="G22" s="19">
        <f t="shared" si="6"/>
        <v>94</v>
      </c>
      <c r="H22" s="20" t="str">
        <f t="shared" si="1"/>
        <v>جيد جداً</v>
      </c>
      <c r="I22" s="20" t="str">
        <f t="shared" si="2"/>
        <v>ممتاز</v>
      </c>
      <c r="J22" s="20" t="str">
        <f t="shared" si="3"/>
        <v>جيد</v>
      </c>
      <c r="K22" s="20" t="str">
        <f t="shared" si="4"/>
        <v>ممتاز</v>
      </c>
      <c r="L22" s="24" t="str">
        <f t="shared" si="5"/>
        <v>ممتاز</v>
      </c>
    </row>
    <row r="23" spans="1:12" ht="26" x14ac:dyDescent="0.35">
      <c r="A23" s="5">
        <v>19</v>
      </c>
      <c r="B23" s="4" t="s">
        <v>30</v>
      </c>
      <c r="C23" s="21">
        <v>6</v>
      </c>
      <c r="D23" s="21">
        <v>7</v>
      </c>
      <c r="E23" s="21">
        <v>7</v>
      </c>
      <c r="F23" s="22">
        <v>68</v>
      </c>
      <c r="G23" s="19">
        <f t="shared" si="6"/>
        <v>88</v>
      </c>
      <c r="H23" s="20" t="str">
        <f t="shared" si="1"/>
        <v>جيد</v>
      </c>
      <c r="I23" s="20" t="str">
        <f t="shared" si="2"/>
        <v>جيد</v>
      </c>
      <c r="J23" s="20" t="str">
        <f t="shared" si="3"/>
        <v>جيد</v>
      </c>
      <c r="K23" s="20" t="str">
        <f t="shared" si="4"/>
        <v>ممتاز</v>
      </c>
      <c r="L23" s="24" t="str">
        <f t="shared" si="5"/>
        <v>جيد جداً</v>
      </c>
    </row>
    <row r="24" spans="1:12" ht="26" x14ac:dyDescent="0.35">
      <c r="A24" s="5">
        <v>20</v>
      </c>
      <c r="B24" s="4" t="s">
        <v>31</v>
      </c>
      <c r="C24" s="21">
        <v>10</v>
      </c>
      <c r="D24" s="21">
        <v>10</v>
      </c>
      <c r="E24" s="21">
        <v>7</v>
      </c>
      <c r="F24" s="22">
        <v>70</v>
      </c>
      <c r="G24" s="19">
        <f t="shared" si="6"/>
        <v>97</v>
      </c>
      <c r="H24" s="20" t="str">
        <f t="shared" si="1"/>
        <v>ممتاز</v>
      </c>
      <c r="I24" s="20" t="str">
        <f t="shared" si="2"/>
        <v>ممتاز</v>
      </c>
      <c r="J24" s="20" t="str">
        <f t="shared" si="3"/>
        <v>جيد</v>
      </c>
      <c r="K24" s="20" t="str">
        <f t="shared" si="4"/>
        <v>ممتاز</v>
      </c>
      <c r="L24" s="24" t="str">
        <f t="shared" si="5"/>
        <v>ممتاز</v>
      </c>
    </row>
    <row r="25" spans="1:12" ht="26" x14ac:dyDescent="0.35">
      <c r="A25" s="5">
        <v>21</v>
      </c>
      <c r="B25" s="4" t="s">
        <v>32</v>
      </c>
      <c r="C25" s="21">
        <v>5</v>
      </c>
      <c r="D25" s="21">
        <v>10</v>
      </c>
      <c r="E25" s="21">
        <v>5</v>
      </c>
      <c r="F25" s="22">
        <v>70</v>
      </c>
      <c r="G25" s="19">
        <f t="shared" si="6"/>
        <v>90</v>
      </c>
      <c r="H25" s="20" t="str">
        <f t="shared" si="1"/>
        <v>مقبول</v>
      </c>
      <c r="I25" s="20" t="str">
        <f t="shared" si="2"/>
        <v>ممتاز</v>
      </c>
      <c r="J25" s="20" t="str">
        <f t="shared" si="3"/>
        <v>مقبول</v>
      </c>
      <c r="K25" s="20" t="str">
        <f t="shared" si="4"/>
        <v>ممتاز</v>
      </c>
      <c r="L25" s="24" t="str">
        <f t="shared" si="5"/>
        <v>ممتاز</v>
      </c>
    </row>
    <row r="26" spans="1:12" ht="26" x14ac:dyDescent="0.35">
      <c r="A26" s="5">
        <v>22</v>
      </c>
      <c r="B26" s="4" t="s">
        <v>33</v>
      </c>
      <c r="C26" s="21">
        <v>5</v>
      </c>
      <c r="D26" s="21">
        <v>5</v>
      </c>
      <c r="E26" s="21">
        <v>5</v>
      </c>
      <c r="F26" s="22">
        <v>48</v>
      </c>
      <c r="G26" s="19">
        <f t="shared" si="6"/>
        <v>63</v>
      </c>
      <c r="H26" s="20" t="str">
        <f t="shared" si="1"/>
        <v>مقبول</v>
      </c>
      <c r="I26" s="20" t="str">
        <f t="shared" si="2"/>
        <v>مقبول</v>
      </c>
      <c r="J26" s="20" t="str">
        <f t="shared" si="3"/>
        <v>مقبول</v>
      </c>
      <c r="K26" s="20" t="str">
        <f t="shared" si="4"/>
        <v>جيد</v>
      </c>
      <c r="L26" s="24" t="str">
        <f t="shared" si="5"/>
        <v>جيد</v>
      </c>
    </row>
    <row r="27" spans="1:12" ht="26" x14ac:dyDescent="0.35">
      <c r="A27" s="5">
        <v>23</v>
      </c>
      <c r="B27" s="4" t="s">
        <v>34</v>
      </c>
      <c r="C27" s="21">
        <v>5</v>
      </c>
      <c r="D27" s="21">
        <v>10</v>
      </c>
      <c r="E27" s="21">
        <v>5</v>
      </c>
      <c r="F27" s="22">
        <v>61</v>
      </c>
      <c r="G27" s="19">
        <f t="shared" si="6"/>
        <v>81</v>
      </c>
      <c r="H27" s="20" t="str">
        <f t="shared" si="1"/>
        <v>مقبول</v>
      </c>
      <c r="I27" s="20" t="str">
        <f t="shared" si="2"/>
        <v>ممتاز</v>
      </c>
      <c r="J27" s="20" t="str">
        <f t="shared" si="3"/>
        <v>مقبول</v>
      </c>
      <c r="K27" s="20" t="str">
        <f t="shared" si="4"/>
        <v>ممتاز</v>
      </c>
      <c r="L27" s="24" t="str">
        <f t="shared" si="5"/>
        <v>جيد جداً</v>
      </c>
    </row>
    <row r="28" spans="1:12" ht="26" x14ac:dyDescent="0.35">
      <c r="A28" s="5">
        <v>24</v>
      </c>
      <c r="B28" s="4" t="s">
        <v>35</v>
      </c>
      <c r="C28" s="21">
        <v>5</v>
      </c>
      <c r="D28" s="21">
        <v>5</v>
      </c>
      <c r="E28" s="21">
        <v>5</v>
      </c>
      <c r="F28" s="22">
        <v>35</v>
      </c>
      <c r="G28" s="19">
        <f t="shared" si="6"/>
        <v>50</v>
      </c>
      <c r="H28" s="20" t="str">
        <f t="shared" si="1"/>
        <v>مقبول</v>
      </c>
      <c r="I28" s="20" t="str">
        <f t="shared" si="2"/>
        <v>مقبول</v>
      </c>
      <c r="J28" s="20" t="str">
        <f t="shared" si="3"/>
        <v>مقبول</v>
      </c>
      <c r="K28" s="20" t="str">
        <f t="shared" si="4"/>
        <v>مقبول</v>
      </c>
      <c r="L28" s="24" t="str">
        <f t="shared" si="5"/>
        <v>مقبول</v>
      </c>
    </row>
    <row r="29" spans="1:12" ht="26" x14ac:dyDescent="0.35">
      <c r="A29" s="5">
        <v>25</v>
      </c>
      <c r="B29" s="4" t="s">
        <v>36</v>
      </c>
      <c r="C29" s="21">
        <v>10</v>
      </c>
      <c r="D29" s="21">
        <v>10</v>
      </c>
      <c r="E29" s="21">
        <v>5</v>
      </c>
      <c r="F29" s="22">
        <v>67</v>
      </c>
      <c r="G29" s="19">
        <f t="shared" si="6"/>
        <v>92</v>
      </c>
      <c r="H29" s="20" t="str">
        <f t="shared" si="1"/>
        <v>ممتاز</v>
      </c>
      <c r="I29" s="20" t="str">
        <f t="shared" si="2"/>
        <v>ممتاز</v>
      </c>
      <c r="J29" s="20" t="str">
        <f t="shared" si="3"/>
        <v>مقبول</v>
      </c>
      <c r="K29" s="20" t="str">
        <f t="shared" si="4"/>
        <v>ممتاز</v>
      </c>
      <c r="L29" s="24" t="str">
        <f t="shared" si="5"/>
        <v>ممتاز</v>
      </c>
    </row>
    <row r="30" spans="1:12" ht="26" x14ac:dyDescent="0.35">
      <c r="A30" s="5">
        <v>26</v>
      </c>
      <c r="B30" s="4" t="s">
        <v>37</v>
      </c>
      <c r="C30" s="21">
        <v>5</v>
      </c>
      <c r="D30" s="21">
        <v>8</v>
      </c>
      <c r="E30" s="21">
        <v>5</v>
      </c>
      <c r="F30" s="22">
        <v>58</v>
      </c>
      <c r="G30" s="19">
        <f t="shared" si="6"/>
        <v>76</v>
      </c>
      <c r="H30" s="20" t="str">
        <f t="shared" si="1"/>
        <v>مقبول</v>
      </c>
      <c r="I30" s="20" t="str">
        <f t="shared" si="2"/>
        <v>جيد جداً</v>
      </c>
      <c r="J30" s="20" t="str">
        <f t="shared" si="3"/>
        <v>مقبول</v>
      </c>
      <c r="K30" s="20" t="str">
        <f t="shared" si="4"/>
        <v>جيد جداً</v>
      </c>
      <c r="L30" s="24" t="str">
        <f t="shared" si="5"/>
        <v>جيد</v>
      </c>
    </row>
    <row r="31" spans="1:12" ht="26" x14ac:dyDescent="0.35">
      <c r="A31" s="5">
        <v>27</v>
      </c>
      <c r="B31" s="4" t="s">
        <v>9</v>
      </c>
      <c r="C31" s="21">
        <v>10</v>
      </c>
      <c r="D31" s="21">
        <v>10</v>
      </c>
      <c r="E31" s="21">
        <v>10</v>
      </c>
      <c r="F31" s="22">
        <v>70</v>
      </c>
      <c r="G31" s="19">
        <f t="shared" si="6"/>
        <v>100</v>
      </c>
      <c r="H31" s="20" t="str">
        <f t="shared" si="1"/>
        <v>ممتاز</v>
      </c>
      <c r="I31" s="20" t="str">
        <f t="shared" si="2"/>
        <v>ممتاز</v>
      </c>
      <c r="J31" s="20" t="str">
        <f t="shared" si="3"/>
        <v>ممتاز</v>
      </c>
      <c r="K31" s="20" t="str">
        <f t="shared" si="4"/>
        <v>ممتاز</v>
      </c>
      <c r="L31" s="24" t="str">
        <f t="shared" si="5"/>
        <v>ممتاز</v>
      </c>
    </row>
    <row r="32" spans="1:12" ht="26" x14ac:dyDescent="0.35">
      <c r="A32" s="5">
        <v>28</v>
      </c>
      <c r="B32" s="4" t="s">
        <v>38</v>
      </c>
      <c r="C32" s="21">
        <v>0</v>
      </c>
      <c r="D32" s="21">
        <v>0</v>
      </c>
      <c r="E32" s="21">
        <v>0</v>
      </c>
      <c r="F32" s="22">
        <v>0</v>
      </c>
      <c r="G32" s="19">
        <f t="shared" si="6"/>
        <v>0</v>
      </c>
      <c r="H32" s="20" t="str">
        <f t="shared" si="1"/>
        <v>يُعاد</v>
      </c>
      <c r="I32" s="20" t="str">
        <f t="shared" si="2"/>
        <v>يُعاد</v>
      </c>
      <c r="J32" s="20" t="str">
        <f t="shared" si="3"/>
        <v>يُعاد</v>
      </c>
      <c r="K32" s="20" t="str">
        <f t="shared" si="4"/>
        <v>يُعاد</v>
      </c>
      <c r="L32" s="24" t="str">
        <f t="shared" si="5"/>
        <v>راسب</v>
      </c>
    </row>
    <row r="33" spans="1:12" ht="26" x14ac:dyDescent="0.35">
      <c r="A33" s="5">
        <v>29</v>
      </c>
      <c r="B33" s="4" t="s">
        <v>39</v>
      </c>
      <c r="C33" s="21">
        <v>5</v>
      </c>
      <c r="D33" s="21">
        <v>8</v>
      </c>
      <c r="E33" s="21">
        <v>5</v>
      </c>
      <c r="F33" s="22">
        <v>70</v>
      </c>
      <c r="G33" s="19">
        <f t="shared" si="6"/>
        <v>88</v>
      </c>
      <c r="H33" s="20" t="str">
        <f t="shared" si="1"/>
        <v>مقبول</v>
      </c>
      <c r="I33" s="20" t="str">
        <f t="shared" si="2"/>
        <v>جيد جداً</v>
      </c>
      <c r="J33" s="20" t="str">
        <f t="shared" si="3"/>
        <v>مقبول</v>
      </c>
      <c r="K33" s="20" t="str">
        <f t="shared" si="4"/>
        <v>ممتاز</v>
      </c>
      <c r="L33" s="24" t="str">
        <f t="shared" si="5"/>
        <v>جيد جداً</v>
      </c>
    </row>
    <row r="34" spans="1:12" ht="26" x14ac:dyDescent="0.35">
      <c r="A34" s="5">
        <v>30</v>
      </c>
      <c r="B34" s="4" t="s">
        <v>40</v>
      </c>
      <c r="C34" s="21">
        <v>5</v>
      </c>
      <c r="D34" s="21">
        <v>6</v>
      </c>
      <c r="E34" s="21">
        <v>5</v>
      </c>
      <c r="F34" s="22">
        <v>64</v>
      </c>
      <c r="G34" s="19">
        <f t="shared" si="6"/>
        <v>80</v>
      </c>
      <c r="H34" s="20" t="str">
        <f t="shared" si="1"/>
        <v>مقبول</v>
      </c>
      <c r="I34" s="20" t="str">
        <f t="shared" si="2"/>
        <v>جيد</v>
      </c>
      <c r="J34" s="20" t="str">
        <f t="shared" si="3"/>
        <v>مقبول</v>
      </c>
      <c r="K34" s="20" t="str">
        <f t="shared" si="4"/>
        <v>ممتاز</v>
      </c>
      <c r="L34" s="24" t="str">
        <f t="shared" si="5"/>
        <v>جيد جداً</v>
      </c>
    </row>
    <row r="35" spans="1:12" ht="26" x14ac:dyDescent="0.35">
      <c r="A35" s="5">
        <v>31</v>
      </c>
      <c r="B35" s="4" t="s">
        <v>10</v>
      </c>
      <c r="C35" s="21">
        <v>5</v>
      </c>
      <c r="D35" s="21">
        <v>6</v>
      </c>
      <c r="E35" s="21">
        <v>5</v>
      </c>
      <c r="F35" s="22">
        <v>53</v>
      </c>
      <c r="G35" s="19">
        <f t="shared" si="6"/>
        <v>69</v>
      </c>
      <c r="H35" s="20" t="str">
        <f t="shared" si="1"/>
        <v>مقبول</v>
      </c>
      <c r="I35" s="20" t="str">
        <f t="shared" si="2"/>
        <v>جيد</v>
      </c>
      <c r="J35" s="20" t="str">
        <f t="shared" si="3"/>
        <v>مقبول</v>
      </c>
      <c r="K35" s="20" t="str">
        <f t="shared" si="4"/>
        <v>جيد</v>
      </c>
      <c r="L35" s="24" t="str">
        <f t="shared" si="5"/>
        <v>جيد</v>
      </c>
    </row>
    <row r="36" spans="1:12" ht="26" x14ac:dyDescent="0.35">
      <c r="A36" s="5">
        <v>32</v>
      </c>
      <c r="B36" s="4" t="s">
        <v>8</v>
      </c>
      <c r="C36" s="21">
        <v>10</v>
      </c>
      <c r="D36" s="21">
        <v>10</v>
      </c>
      <c r="E36" s="21">
        <v>6</v>
      </c>
      <c r="F36" s="22">
        <v>66</v>
      </c>
      <c r="G36" s="19">
        <f t="shared" si="6"/>
        <v>92</v>
      </c>
      <c r="H36" s="20" t="str">
        <f t="shared" si="1"/>
        <v>ممتاز</v>
      </c>
      <c r="I36" s="20" t="str">
        <f t="shared" si="2"/>
        <v>ممتاز</v>
      </c>
      <c r="J36" s="20" t="str">
        <f t="shared" si="3"/>
        <v>جيد</v>
      </c>
      <c r="K36" s="20" t="str">
        <f t="shared" si="4"/>
        <v>ممتاز</v>
      </c>
      <c r="L36" s="24" t="str">
        <f t="shared" si="5"/>
        <v>ممتاز</v>
      </c>
    </row>
    <row r="37" spans="1:12" ht="26" x14ac:dyDescent="0.35">
      <c r="A37" s="5">
        <v>33</v>
      </c>
      <c r="B37" s="4" t="s">
        <v>41</v>
      </c>
      <c r="C37" s="21">
        <v>0</v>
      </c>
      <c r="D37" s="21">
        <v>0</v>
      </c>
      <c r="E37" s="21">
        <v>0</v>
      </c>
      <c r="F37" s="22">
        <v>0</v>
      </c>
      <c r="G37" s="19">
        <f t="shared" si="6"/>
        <v>0</v>
      </c>
      <c r="H37" s="20" t="str">
        <f t="shared" si="1"/>
        <v>يُعاد</v>
      </c>
      <c r="I37" s="20" t="str">
        <f t="shared" si="2"/>
        <v>يُعاد</v>
      </c>
      <c r="J37" s="20" t="str">
        <f t="shared" si="3"/>
        <v>يُعاد</v>
      </c>
      <c r="K37" s="20" t="str">
        <f t="shared" si="4"/>
        <v>يُعاد</v>
      </c>
      <c r="L37" s="24" t="str">
        <f t="shared" si="5"/>
        <v>راسب</v>
      </c>
    </row>
    <row r="38" spans="1:12" ht="26" x14ac:dyDescent="0.35">
      <c r="A38" s="5">
        <v>34</v>
      </c>
      <c r="B38" s="4" t="s">
        <v>42</v>
      </c>
      <c r="C38" s="21">
        <v>5</v>
      </c>
      <c r="D38" s="21">
        <v>8</v>
      </c>
      <c r="E38" s="21">
        <v>5</v>
      </c>
      <c r="F38" s="22">
        <v>63</v>
      </c>
      <c r="G38" s="19">
        <f t="shared" si="6"/>
        <v>81</v>
      </c>
      <c r="H38" s="20" t="str">
        <f t="shared" si="1"/>
        <v>مقبول</v>
      </c>
      <c r="I38" s="20" t="str">
        <f t="shared" si="2"/>
        <v>جيد جداً</v>
      </c>
      <c r="J38" s="20" t="str">
        <f t="shared" si="3"/>
        <v>مقبول</v>
      </c>
      <c r="K38" s="20" t="str">
        <f t="shared" si="4"/>
        <v>ممتاز</v>
      </c>
      <c r="L38" s="24" t="str">
        <f t="shared" si="5"/>
        <v>جيد جداً</v>
      </c>
    </row>
    <row r="39" spans="1:12" ht="26" x14ac:dyDescent="0.35">
      <c r="A39" s="5">
        <v>35</v>
      </c>
      <c r="B39" s="4" t="s">
        <v>14</v>
      </c>
      <c r="C39" s="21">
        <v>8</v>
      </c>
      <c r="D39" s="21">
        <v>10</v>
      </c>
      <c r="E39" s="21">
        <v>5</v>
      </c>
      <c r="F39" s="22">
        <v>68</v>
      </c>
      <c r="G39" s="19">
        <f t="shared" si="6"/>
        <v>91</v>
      </c>
      <c r="H39" s="20" t="str">
        <f t="shared" si="1"/>
        <v>جيد جداً</v>
      </c>
      <c r="I39" s="20" t="str">
        <f t="shared" si="2"/>
        <v>ممتاز</v>
      </c>
      <c r="J39" s="20" t="str">
        <f t="shared" si="3"/>
        <v>مقبول</v>
      </c>
      <c r="K39" s="20" t="str">
        <f t="shared" si="4"/>
        <v>ممتاز</v>
      </c>
      <c r="L39" s="24" t="str">
        <f t="shared" si="5"/>
        <v>ممتاز</v>
      </c>
    </row>
    <row r="40" spans="1:12" ht="26" x14ac:dyDescent="0.35">
      <c r="A40" s="5">
        <v>36</v>
      </c>
      <c r="B40" s="4" t="s">
        <v>6</v>
      </c>
      <c r="C40" s="21">
        <v>8</v>
      </c>
      <c r="D40" s="21">
        <v>10</v>
      </c>
      <c r="E40" s="21">
        <v>10</v>
      </c>
      <c r="F40" s="22">
        <v>70</v>
      </c>
      <c r="G40" s="19">
        <f t="shared" si="6"/>
        <v>98</v>
      </c>
      <c r="H40" s="20" t="str">
        <f t="shared" si="1"/>
        <v>جيد جداً</v>
      </c>
      <c r="I40" s="20" t="str">
        <f t="shared" si="2"/>
        <v>ممتاز</v>
      </c>
      <c r="J40" s="20" t="str">
        <f t="shared" si="3"/>
        <v>ممتاز</v>
      </c>
      <c r="K40" s="20" t="str">
        <f t="shared" si="4"/>
        <v>ممتاز</v>
      </c>
      <c r="L40" s="24" t="str">
        <f t="shared" si="5"/>
        <v>ممتاز</v>
      </c>
    </row>
    <row r="41" spans="1:12" ht="26" x14ac:dyDescent="0.35">
      <c r="A41" s="5">
        <v>37</v>
      </c>
      <c r="B41" s="4" t="s">
        <v>43</v>
      </c>
      <c r="C41" s="21">
        <v>0</v>
      </c>
      <c r="D41" s="21">
        <v>0</v>
      </c>
      <c r="E41" s="21">
        <v>0</v>
      </c>
      <c r="F41" s="22">
        <v>0</v>
      </c>
      <c r="G41" s="19">
        <f t="shared" si="6"/>
        <v>0</v>
      </c>
      <c r="H41" s="20" t="str">
        <f t="shared" si="1"/>
        <v>يُعاد</v>
      </c>
      <c r="I41" s="20" t="str">
        <f t="shared" si="2"/>
        <v>يُعاد</v>
      </c>
      <c r="J41" s="20" t="str">
        <f t="shared" si="3"/>
        <v>يُعاد</v>
      </c>
      <c r="K41" s="20" t="str">
        <f t="shared" si="4"/>
        <v>يُعاد</v>
      </c>
      <c r="L41" s="24" t="str">
        <f t="shared" si="5"/>
        <v>راسب</v>
      </c>
    </row>
    <row r="42" spans="1:12" ht="26" x14ac:dyDescent="0.35">
      <c r="A42" s="5">
        <v>38</v>
      </c>
      <c r="B42" s="4" t="s">
        <v>44</v>
      </c>
      <c r="C42" s="21">
        <v>0</v>
      </c>
      <c r="D42" s="21">
        <v>0</v>
      </c>
      <c r="E42" s="21">
        <v>0</v>
      </c>
      <c r="F42" s="22">
        <v>0</v>
      </c>
      <c r="G42" s="19">
        <f t="shared" si="6"/>
        <v>0</v>
      </c>
      <c r="H42" s="20" t="str">
        <f t="shared" si="1"/>
        <v>يُعاد</v>
      </c>
      <c r="I42" s="20" t="str">
        <f t="shared" si="2"/>
        <v>يُعاد</v>
      </c>
      <c r="J42" s="20" t="str">
        <f t="shared" si="3"/>
        <v>يُعاد</v>
      </c>
      <c r="K42" s="20" t="str">
        <f t="shared" si="4"/>
        <v>يُعاد</v>
      </c>
      <c r="L42" s="24" t="str">
        <f t="shared" si="5"/>
        <v>راسب</v>
      </c>
    </row>
    <row r="43" spans="1:12" ht="26" x14ac:dyDescent="0.35">
      <c r="A43" s="5">
        <v>39</v>
      </c>
      <c r="B43" s="4" t="s">
        <v>45</v>
      </c>
      <c r="C43" s="21">
        <v>6</v>
      </c>
      <c r="D43" s="21">
        <v>10</v>
      </c>
      <c r="E43" s="21">
        <v>5</v>
      </c>
      <c r="F43" s="22">
        <v>70</v>
      </c>
      <c r="G43" s="19">
        <f t="shared" si="6"/>
        <v>91</v>
      </c>
      <c r="H43" s="20" t="str">
        <f t="shared" si="1"/>
        <v>جيد</v>
      </c>
      <c r="I43" s="20" t="str">
        <f t="shared" si="2"/>
        <v>ممتاز</v>
      </c>
      <c r="J43" s="20" t="str">
        <f t="shared" si="3"/>
        <v>مقبول</v>
      </c>
      <c r="K43" s="20" t="str">
        <f t="shared" si="4"/>
        <v>ممتاز</v>
      </c>
      <c r="L43" s="24" t="str">
        <f t="shared" si="5"/>
        <v>ممتاز</v>
      </c>
    </row>
    <row r="44" spans="1:12" ht="26" x14ac:dyDescent="0.35">
      <c r="A44" s="5">
        <v>40</v>
      </c>
      <c r="B44" s="4" t="s">
        <v>46</v>
      </c>
      <c r="C44" s="21">
        <v>0</v>
      </c>
      <c r="D44" s="21">
        <v>0</v>
      </c>
      <c r="E44" s="21">
        <v>0</v>
      </c>
      <c r="F44" s="22">
        <v>0</v>
      </c>
      <c r="G44" s="19">
        <f t="shared" si="6"/>
        <v>0</v>
      </c>
      <c r="H44" s="20" t="str">
        <f t="shared" si="1"/>
        <v>يُعاد</v>
      </c>
      <c r="I44" s="20" t="str">
        <f t="shared" si="2"/>
        <v>يُعاد</v>
      </c>
      <c r="J44" s="20" t="str">
        <f t="shared" si="3"/>
        <v>يُعاد</v>
      </c>
      <c r="K44" s="20" t="str">
        <f t="shared" si="4"/>
        <v>يُعاد</v>
      </c>
      <c r="L44" s="24" t="str">
        <f t="shared" si="5"/>
        <v>راسب</v>
      </c>
    </row>
    <row r="45" spans="1:12" ht="26" x14ac:dyDescent="0.35">
      <c r="A45" s="5">
        <v>41</v>
      </c>
      <c r="B45" s="4" t="s">
        <v>47</v>
      </c>
      <c r="C45" s="21">
        <v>5</v>
      </c>
      <c r="D45" s="21">
        <v>10</v>
      </c>
      <c r="E45" s="21">
        <v>8</v>
      </c>
      <c r="F45" s="22">
        <v>70</v>
      </c>
      <c r="G45" s="19">
        <f t="shared" si="6"/>
        <v>93</v>
      </c>
      <c r="H45" s="20" t="str">
        <f t="shared" si="1"/>
        <v>مقبول</v>
      </c>
      <c r="I45" s="20" t="str">
        <f t="shared" si="2"/>
        <v>ممتاز</v>
      </c>
      <c r="J45" s="20" t="str">
        <f t="shared" si="3"/>
        <v>جيد جداً</v>
      </c>
      <c r="K45" s="20" t="str">
        <f t="shared" si="4"/>
        <v>ممتاز</v>
      </c>
      <c r="L45" s="24" t="str">
        <f t="shared" si="5"/>
        <v>ممتاز</v>
      </c>
    </row>
    <row r="46" spans="1:12" ht="26" x14ac:dyDescent="0.35">
      <c r="A46" s="5">
        <v>42</v>
      </c>
      <c r="B46" s="4" t="s">
        <v>48</v>
      </c>
      <c r="C46" s="21">
        <v>5</v>
      </c>
      <c r="D46" s="21">
        <v>10</v>
      </c>
      <c r="E46" s="21">
        <v>5</v>
      </c>
      <c r="F46" s="22">
        <v>45</v>
      </c>
      <c r="G46" s="19">
        <f t="shared" si="6"/>
        <v>65</v>
      </c>
      <c r="H46" s="20" t="str">
        <f t="shared" si="1"/>
        <v>مقبول</v>
      </c>
      <c r="I46" s="20" t="str">
        <f t="shared" si="2"/>
        <v>ممتاز</v>
      </c>
      <c r="J46" s="20" t="str">
        <f t="shared" si="3"/>
        <v>مقبول</v>
      </c>
      <c r="K46" s="20" t="str">
        <f t="shared" si="4"/>
        <v>جيد</v>
      </c>
      <c r="L46" s="24" t="str">
        <f t="shared" si="5"/>
        <v>جيد</v>
      </c>
    </row>
    <row r="47" spans="1:12" ht="26" x14ac:dyDescent="0.35">
      <c r="A47" s="5">
        <v>43</v>
      </c>
      <c r="B47" s="4" t="s">
        <v>49</v>
      </c>
      <c r="C47" s="21">
        <v>6</v>
      </c>
      <c r="D47" s="21">
        <v>8</v>
      </c>
      <c r="E47" s="21">
        <v>5</v>
      </c>
      <c r="F47" s="22">
        <v>60</v>
      </c>
      <c r="G47" s="19">
        <f t="shared" si="6"/>
        <v>79</v>
      </c>
      <c r="H47" s="20" t="str">
        <f t="shared" si="1"/>
        <v>جيد</v>
      </c>
      <c r="I47" s="20" t="str">
        <f t="shared" si="2"/>
        <v>جيد جداً</v>
      </c>
      <c r="J47" s="20" t="str">
        <f t="shared" si="3"/>
        <v>مقبول</v>
      </c>
      <c r="K47" s="20" t="str">
        <f t="shared" si="4"/>
        <v>ممتاز</v>
      </c>
      <c r="L47" s="24" t="str">
        <f t="shared" si="5"/>
        <v>جيد</v>
      </c>
    </row>
    <row r="48" spans="1:12" ht="26" x14ac:dyDescent="0.35">
      <c r="A48" s="5">
        <v>44</v>
      </c>
      <c r="B48" s="4" t="s">
        <v>50</v>
      </c>
      <c r="C48" s="21">
        <v>8</v>
      </c>
      <c r="D48" s="21">
        <v>10</v>
      </c>
      <c r="E48" s="21">
        <v>10</v>
      </c>
      <c r="F48" s="22">
        <v>70</v>
      </c>
      <c r="G48" s="19">
        <f t="shared" si="6"/>
        <v>98</v>
      </c>
      <c r="H48" s="20" t="str">
        <f t="shared" si="1"/>
        <v>جيد جداً</v>
      </c>
      <c r="I48" s="20" t="str">
        <f t="shared" si="2"/>
        <v>ممتاز</v>
      </c>
      <c r="J48" s="20" t="str">
        <f t="shared" si="3"/>
        <v>ممتاز</v>
      </c>
      <c r="K48" s="20" t="str">
        <f t="shared" si="4"/>
        <v>ممتاز</v>
      </c>
      <c r="L48" s="24" t="str">
        <f t="shared" si="5"/>
        <v>ممتاز</v>
      </c>
    </row>
    <row r="49" spans="1:12" ht="26" x14ac:dyDescent="0.35">
      <c r="A49" s="5">
        <v>45</v>
      </c>
      <c r="B49" s="4" t="s">
        <v>51</v>
      </c>
      <c r="C49" s="21">
        <v>5</v>
      </c>
      <c r="D49" s="21">
        <v>6</v>
      </c>
      <c r="E49" s="21">
        <v>5</v>
      </c>
      <c r="F49" s="22">
        <v>65</v>
      </c>
      <c r="G49" s="19">
        <f t="shared" si="6"/>
        <v>81</v>
      </c>
      <c r="H49" s="20" t="str">
        <f t="shared" si="1"/>
        <v>مقبول</v>
      </c>
      <c r="I49" s="20" t="str">
        <f t="shared" si="2"/>
        <v>جيد</v>
      </c>
      <c r="J49" s="20" t="str">
        <f t="shared" si="3"/>
        <v>مقبول</v>
      </c>
      <c r="K49" s="20" t="str">
        <f t="shared" si="4"/>
        <v>ممتاز</v>
      </c>
      <c r="L49" s="24" t="str">
        <f t="shared" si="5"/>
        <v>جيد جداً</v>
      </c>
    </row>
    <row r="50" spans="1:12" ht="26" x14ac:dyDescent="0.35">
      <c r="A50" s="5">
        <v>46</v>
      </c>
      <c r="B50" s="4" t="s">
        <v>52</v>
      </c>
      <c r="C50" s="21">
        <v>5</v>
      </c>
      <c r="D50" s="21">
        <v>5</v>
      </c>
      <c r="E50" s="21">
        <v>5</v>
      </c>
      <c r="F50" s="22">
        <v>45</v>
      </c>
      <c r="G50" s="19">
        <f t="shared" si="6"/>
        <v>60</v>
      </c>
      <c r="H50" s="20" t="str">
        <f t="shared" si="1"/>
        <v>مقبول</v>
      </c>
      <c r="I50" s="20" t="str">
        <f t="shared" si="2"/>
        <v>مقبول</v>
      </c>
      <c r="J50" s="20" t="str">
        <f t="shared" si="3"/>
        <v>مقبول</v>
      </c>
      <c r="K50" s="20" t="str">
        <f t="shared" si="4"/>
        <v>جيد</v>
      </c>
      <c r="L50" s="24" t="str">
        <f t="shared" si="5"/>
        <v>جيد</v>
      </c>
    </row>
    <row r="51" spans="1:12" ht="26" x14ac:dyDescent="0.35">
      <c r="A51" s="5">
        <v>47</v>
      </c>
      <c r="B51" s="4" t="s">
        <v>53</v>
      </c>
      <c r="C51" s="21">
        <v>6</v>
      </c>
      <c r="D51" s="21">
        <v>10</v>
      </c>
      <c r="E51" s="21">
        <v>6</v>
      </c>
      <c r="F51" s="22">
        <v>70</v>
      </c>
      <c r="G51" s="19">
        <f t="shared" si="6"/>
        <v>92</v>
      </c>
      <c r="H51" s="20" t="str">
        <f t="shared" si="1"/>
        <v>جيد</v>
      </c>
      <c r="I51" s="20" t="str">
        <f t="shared" si="2"/>
        <v>ممتاز</v>
      </c>
      <c r="J51" s="20" t="str">
        <f t="shared" si="3"/>
        <v>جيد</v>
      </c>
      <c r="K51" s="20" t="str">
        <f t="shared" si="4"/>
        <v>ممتاز</v>
      </c>
      <c r="L51" s="24" t="str">
        <f t="shared" si="5"/>
        <v>ممتاز</v>
      </c>
    </row>
    <row r="52" spans="1:12" ht="26" x14ac:dyDescent="0.35">
      <c r="A52" s="5">
        <v>48</v>
      </c>
      <c r="B52" s="4" t="s">
        <v>54</v>
      </c>
      <c r="C52" s="21">
        <v>5</v>
      </c>
      <c r="D52" s="21">
        <v>10</v>
      </c>
      <c r="E52" s="21">
        <v>5</v>
      </c>
      <c r="F52" s="22">
        <v>70</v>
      </c>
      <c r="G52" s="19">
        <f t="shared" si="6"/>
        <v>90</v>
      </c>
      <c r="H52" s="20" t="str">
        <f t="shared" si="1"/>
        <v>مقبول</v>
      </c>
      <c r="I52" s="20" t="str">
        <f t="shared" si="2"/>
        <v>ممتاز</v>
      </c>
      <c r="J52" s="20" t="str">
        <f t="shared" si="3"/>
        <v>مقبول</v>
      </c>
      <c r="K52" s="20" t="str">
        <f t="shared" si="4"/>
        <v>ممتاز</v>
      </c>
      <c r="L52" s="24" t="str">
        <f t="shared" si="5"/>
        <v>ممتاز</v>
      </c>
    </row>
    <row r="53" spans="1:12" ht="26" x14ac:dyDescent="0.35">
      <c r="A53" s="5">
        <v>49</v>
      </c>
      <c r="B53" s="4" t="s">
        <v>55</v>
      </c>
      <c r="C53" s="21">
        <v>5</v>
      </c>
      <c r="D53" s="21">
        <v>5</v>
      </c>
      <c r="E53" s="21">
        <v>5</v>
      </c>
      <c r="F53" s="22">
        <v>68</v>
      </c>
      <c r="G53" s="19">
        <f t="shared" si="6"/>
        <v>83</v>
      </c>
      <c r="H53" s="20" t="str">
        <f t="shared" si="1"/>
        <v>مقبول</v>
      </c>
      <c r="I53" s="20" t="str">
        <f t="shared" si="2"/>
        <v>مقبول</v>
      </c>
      <c r="J53" s="20" t="str">
        <f t="shared" si="3"/>
        <v>مقبول</v>
      </c>
      <c r="K53" s="20" t="str">
        <f t="shared" si="4"/>
        <v>ممتاز</v>
      </c>
      <c r="L53" s="24" t="str">
        <f t="shared" si="5"/>
        <v>جيد جداً</v>
      </c>
    </row>
    <row r="54" spans="1:12" ht="26" x14ac:dyDescent="0.35">
      <c r="A54" s="5">
        <v>50</v>
      </c>
      <c r="B54" s="4" t="s">
        <v>15</v>
      </c>
      <c r="C54" s="21">
        <v>10</v>
      </c>
      <c r="D54" s="21">
        <v>10</v>
      </c>
      <c r="E54" s="21">
        <v>10</v>
      </c>
      <c r="F54" s="22">
        <v>70</v>
      </c>
      <c r="G54" s="19">
        <f t="shared" si="6"/>
        <v>100</v>
      </c>
      <c r="H54" s="20" t="str">
        <f t="shared" si="1"/>
        <v>ممتاز</v>
      </c>
      <c r="I54" s="20" t="str">
        <f t="shared" si="2"/>
        <v>ممتاز</v>
      </c>
      <c r="J54" s="20" t="str">
        <f t="shared" si="3"/>
        <v>ممتاز</v>
      </c>
      <c r="K54" s="20" t="str">
        <f t="shared" si="4"/>
        <v>ممتاز</v>
      </c>
      <c r="L54" s="24" t="str">
        <f t="shared" si="5"/>
        <v>ممتاز</v>
      </c>
    </row>
    <row r="55" spans="1:12" ht="26" x14ac:dyDescent="0.35">
      <c r="A55" s="5">
        <v>51</v>
      </c>
      <c r="B55" s="4" t="s">
        <v>56</v>
      </c>
      <c r="C55" s="21">
        <v>0</v>
      </c>
      <c r="D55" s="21">
        <v>0</v>
      </c>
      <c r="E55" s="21">
        <v>0</v>
      </c>
      <c r="F55" s="22">
        <v>0</v>
      </c>
      <c r="G55" s="19">
        <f t="shared" si="6"/>
        <v>0</v>
      </c>
      <c r="H55" s="20" t="str">
        <f t="shared" si="1"/>
        <v>يُعاد</v>
      </c>
      <c r="I55" s="20" t="str">
        <f t="shared" si="2"/>
        <v>يُعاد</v>
      </c>
      <c r="J55" s="20" t="str">
        <f t="shared" si="3"/>
        <v>يُعاد</v>
      </c>
      <c r="K55" s="20" t="str">
        <f t="shared" si="4"/>
        <v>يُعاد</v>
      </c>
      <c r="L55" s="24" t="str">
        <f t="shared" si="5"/>
        <v>راسب</v>
      </c>
    </row>
    <row r="56" spans="1:12" ht="26" x14ac:dyDescent="0.35">
      <c r="A56" s="5">
        <v>52</v>
      </c>
      <c r="B56" s="4" t="s">
        <v>57</v>
      </c>
      <c r="C56" s="21">
        <v>10</v>
      </c>
      <c r="D56" s="21">
        <v>10</v>
      </c>
      <c r="E56" s="21">
        <v>5</v>
      </c>
      <c r="F56" s="22">
        <v>70</v>
      </c>
      <c r="G56" s="19">
        <f t="shared" si="6"/>
        <v>95</v>
      </c>
      <c r="H56" s="20" t="str">
        <f t="shared" si="1"/>
        <v>ممتاز</v>
      </c>
      <c r="I56" s="20" t="str">
        <f t="shared" si="2"/>
        <v>ممتاز</v>
      </c>
      <c r="J56" s="20" t="str">
        <f t="shared" si="3"/>
        <v>مقبول</v>
      </c>
      <c r="K56" s="20" t="str">
        <f t="shared" si="4"/>
        <v>ممتاز</v>
      </c>
      <c r="L56" s="24" t="str">
        <f t="shared" si="5"/>
        <v>ممتاز</v>
      </c>
    </row>
    <row r="57" spans="1:12" ht="26" x14ac:dyDescent="0.35">
      <c r="A57" s="5">
        <v>53</v>
      </c>
      <c r="B57" s="4" t="s">
        <v>58</v>
      </c>
      <c r="C57" s="21">
        <v>0</v>
      </c>
      <c r="D57" s="21">
        <v>0</v>
      </c>
      <c r="E57" s="21">
        <v>0</v>
      </c>
      <c r="F57" s="22">
        <v>0</v>
      </c>
      <c r="G57" s="19">
        <f t="shared" si="6"/>
        <v>0</v>
      </c>
      <c r="H57" s="20" t="str">
        <f t="shared" si="1"/>
        <v>يُعاد</v>
      </c>
      <c r="I57" s="20" t="str">
        <f t="shared" si="2"/>
        <v>يُعاد</v>
      </c>
      <c r="J57" s="20" t="str">
        <f t="shared" si="3"/>
        <v>يُعاد</v>
      </c>
      <c r="K57" s="20" t="str">
        <f t="shared" si="4"/>
        <v>يُعاد</v>
      </c>
      <c r="L57" s="24" t="str">
        <f t="shared" si="5"/>
        <v>راسب</v>
      </c>
    </row>
    <row r="58" spans="1:12" ht="26" x14ac:dyDescent="0.35">
      <c r="A58" s="5">
        <v>54</v>
      </c>
      <c r="B58" s="4" t="s">
        <v>59</v>
      </c>
      <c r="C58" s="21">
        <v>5</v>
      </c>
      <c r="D58" s="21">
        <v>8</v>
      </c>
      <c r="E58" s="21">
        <v>5</v>
      </c>
      <c r="F58" s="22">
        <v>70</v>
      </c>
      <c r="G58" s="19">
        <f t="shared" si="6"/>
        <v>88</v>
      </c>
      <c r="H58" s="20" t="str">
        <f t="shared" si="1"/>
        <v>مقبول</v>
      </c>
      <c r="I58" s="20" t="str">
        <f t="shared" si="2"/>
        <v>جيد جداً</v>
      </c>
      <c r="J58" s="20" t="str">
        <f t="shared" si="3"/>
        <v>مقبول</v>
      </c>
      <c r="K58" s="20" t="str">
        <f t="shared" si="4"/>
        <v>ممتاز</v>
      </c>
      <c r="L58" s="24" t="str">
        <f t="shared" si="5"/>
        <v>جيد جداً</v>
      </c>
    </row>
    <row r="59" spans="1:12" ht="26" x14ac:dyDescent="0.35">
      <c r="A59" s="5">
        <v>55</v>
      </c>
      <c r="B59" s="4" t="s">
        <v>60</v>
      </c>
      <c r="C59" s="21">
        <v>0</v>
      </c>
      <c r="D59" s="21">
        <v>0</v>
      </c>
      <c r="E59" s="21">
        <v>0</v>
      </c>
      <c r="F59" s="22">
        <v>0</v>
      </c>
      <c r="G59" s="19">
        <f t="shared" si="6"/>
        <v>0</v>
      </c>
      <c r="H59" s="20" t="str">
        <f t="shared" si="1"/>
        <v>يُعاد</v>
      </c>
      <c r="I59" s="20" t="str">
        <f t="shared" si="2"/>
        <v>يُعاد</v>
      </c>
      <c r="J59" s="20" t="str">
        <f t="shared" si="3"/>
        <v>يُعاد</v>
      </c>
      <c r="K59" s="20" t="str">
        <f t="shared" si="4"/>
        <v>يُعاد</v>
      </c>
      <c r="L59" s="24" t="str">
        <f t="shared" si="5"/>
        <v>راسب</v>
      </c>
    </row>
    <row r="60" spans="1:12" ht="26" x14ac:dyDescent="0.35">
      <c r="A60" s="5">
        <v>56</v>
      </c>
      <c r="B60" s="4" t="s">
        <v>61</v>
      </c>
      <c r="C60" s="21">
        <v>5</v>
      </c>
      <c r="D60" s="21">
        <v>5</v>
      </c>
      <c r="E60" s="21">
        <v>5</v>
      </c>
      <c r="F60" s="22">
        <v>48</v>
      </c>
      <c r="G60" s="19">
        <f t="shared" si="6"/>
        <v>63</v>
      </c>
      <c r="H60" s="20" t="str">
        <f t="shared" si="1"/>
        <v>مقبول</v>
      </c>
      <c r="I60" s="20" t="str">
        <f t="shared" si="2"/>
        <v>مقبول</v>
      </c>
      <c r="J60" s="20" t="str">
        <f t="shared" si="3"/>
        <v>مقبول</v>
      </c>
      <c r="K60" s="20" t="str">
        <f t="shared" si="4"/>
        <v>جيد</v>
      </c>
      <c r="L60" s="24" t="str">
        <f t="shared" si="5"/>
        <v>جيد</v>
      </c>
    </row>
    <row r="61" spans="1:12" ht="26" x14ac:dyDescent="0.35">
      <c r="A61" s="5">
        <v>57</v>
      </c>
      <c r="B61" s="4" t="s">
        <v>62</v>
      </c>
      <c r="C61" s="21">
        <v>0</v>
      </c>
      <c r="D61" s="21">
        <v>0</v>
      </c>
      <c r="E61" s="21">
        <v>0</v>
      </c>
      <c r="F61" s="22">
        <v>0</v>
      </c>
      <c r="G61" s="19">
        <f t="shared" si="6"/>
        <v>0</v>
      </c>
      <c r="H61" s="20" t="str">
        <f t="shared" si="1"/>
        <v>يُعاد</v>
      </c>
      <c r="I61" s="20" t="str">
        <f t="shared" si="2"/>
        <v>يُعاد</v>
      </c>
      <c r="J61" s="20" t="str">
        <f t="shared" si="3"/>
        <v>يُعاد</v>
      </c>
      <c r="K61" s="20" t="str">
        <f t="shared" si="4"/>
        <v>يُعاد</v>
      </c>
      <c r="L61" s="24" t="str">
        <f t="shared" si="5"/>
        <v>راسب</v>
      </c>
    </row>
    <row r="62" spans="1:12" ht="26" x14ac:dyDescent="0.35">
      <c r="A62" s="5">
        <v>58</v>
      </c>
      <c r="B62" s="4" t="s">
        <v>63</v>
      </c>
      <c r="C62" s="21">
        <v>0</v>
      </c>
      <c r="D62" s="21">
        <v>0</v>
      </c>
      <c r="E62" s="21">
        <v>0</v>
      </c>
      <c r="F62" s="22">
        <v>0</v>
      </c>
      <c r="G62" s="19">
        <f t="shared" si="6"/>
        <v>0</v>
      </c>
      <c r="H62" s="20" t="str">
        <f t="shared" si="1"/>
        <v>يُعاد</v>
      </c>
      <c r="I62" s="20" t="str">
        <f t="shared" si="2"/>
        <v>يُعاد</v>
      </c>
      <c r="J62" s="20" t="str">
        <f t="shared" si="3"/>
        <v>يُعاد</v>
      </c>
      <c r="K62" s="20" t="str">
        <f t="shared" si="4"/>
        <v>يُعاد</v>
      </c>
      <c r="L62" s="24" t="str">
        <f t="shared" si="5"/>
        <v>راسب</v>
      </c>
    </row>
    <row r="63" spans="1:12" ht="26" x14ac:dyDescent="0.35">
      <c r="A63" s="5">
        <v>59</v>
      </c>
      <c r="B63" s="4" t="s">
        <v>64</v>
      </c>
      <c r="C63" s="21">
        <v>0</v>
      </c>
      <c r="D63" s="21">
        <v>0</v>
      </c>
      <c r="E63" s="21">
        <v>0</v>
      </c>
      <c r="F63" s="22">
        <v>0</v>
      </c>
      <c r="G63" s="19">
        <f t="shared" si="6"/>
        <v>0</v>
      </c>
      <c r="H63" s="20" t="str">
        <f t="shared" si="1"/>
        <v>يُعاد</v>
      </c>
      <c r="I63" s="20" t="str">
        <f t="shared" si="2"/>
        <v>يُعاد</v>
      </c>
      <c r="J63" s="20" t="str">
        <f t="shared" si="3"/>
        <v>يُعاد</v>
      </c>
      <c r="K63" s="20" t="str">
        <f t="shared" si="4"/>
        <v>يُعاد</v>
      </c>
      <c r="L63" s="24" t="str">
        <f t="shared" si="5"/>
        <v>راسب</v>
      </c>
    </row>
    <row r="64" spans="1:12" ht="26" x14ac:dyDescent="0.35">
      <c r="A64" s="5">
        <v>60</v>
      </c>
      <c r="B64" s="4" t="s">
        <v>65</v>
      </c>
      <c r="C64" s="21">
        <v>0</v>
      </c>
      <c r="D64" s="21">
        <v>0</v>
      </c>
      <c r="E64" s="21">
        <v>0</v>
      </c>
      <c r="F64" s="22">
        <v>0</v>
      </c>
      <c r="G64" s="19">
        <f t="shared" si="6"/>
        <v>0</v>
      </c>
      <c r="H64" s="20" t="str">
        <f t="shared" si="1"/>
        <v>يُعاد</v>
      </c>
      <c r="I64" s="20" t="str">
        <f t="shared" si="2"/>
        <v>يُعاد</v>
      </c>
      <c r="J64" s="20" t="str">
        <f t="shared" si="3"/>
        <v>يُعاد</v>
      </c>
      <c r="K64" s="20" t="str">
        <f t="shared" si="4"/>
        <v>يُعاد</v>
      </c>
      <c r="L64" s="24" t="str">
        <f t="shared" si="5"/>
        <v>راسب</v>
      </c>
    </row>
    <row r="65" spans="1:12" ht="26" x14ac:dyDescent="0.35">
      <c r="A65" s="5">
        <v>61</v>
      </c>
      <c r="B65" s="4" t="s">
        <v>76</v>
      </c>
      <c r="C65" s="21">
        <v>6</v>
      </c>
      <c r="D65" s="21">
        <v>8</v>
      </c>
      <c r="E65" s="21">
        <v>5</v>
      </c>
      <c r="F65" s="22">
        <v>63</v>
      </c>
      <c r="G65" s="19">
        <f t="shared" si="6"/>
        <v>82</v>
      </c>
      <c r="H65" s="20" t="str">
        <f t="shared" si="1"/>
        <v>جيد</v>
      </c>
      <c r="I65" s="20" t="str">
        <f t="shared" si="2"/>
        <v>جيد جداً</v>
      </c>
      <c r="J65" s="20" t="str">
        <f t="shared" si="3"/>
        <v>مقبول</v>
      </c>
      <c r="K65" s="20" t="str">
        <f t="shared" si="4"/>
        <v>ممتاز</v>
      </c>
      <c r="L65" s="24" t="str">
        <f t="shared" si="5"/>
        <v>جيد جداً</v>
      </c>
    </row>
    <row r="66" spans="1:12" ht="26" x14ac:dyDescent="0.35">
      <c r="A66" s="5">
        <v>62</v>
      </c>
      <c r="B66" s="4" t="s">
        <v>66</v>
      </c>
      <c r="C66" s="21">
        <v>0</v>
      </c>
      <c r="D66" s="21">
        <v>0</v>
      </c>
      <c r="E66" s="21">
        <v>0</v>
      </c>
      <c r="F66" s="22">
        <v>0</v>
      </c>
      <c r="G66" s="19">
        <f t="shared" si="6"/>
        <v>0</v>
      </c>
      <c r="H66" s="20" t="str">
        <f t="shared" si="1"/>
        <v>يُعاد</v>
      </c>
      <c r="I66" s="20" t="str">
        <f t="shared" si="2"/>
        <v>يُعاد</v>
      </c>
      <c r="J66" s="20" t="str">
        <f t="shared" si="3"/>
        <v>يُعاد</v>
      </c>
      <c r="K66" s="20" t="str">
        <f t="shared" si="4"/>
        <v>يُعاد</v>
      </c>
      <c r="L66" s="24" t="str">
        <f t="shared" si="5"/>
        <v>راسب</v>
      </c>
    </row>
    <row r="67" spans="1:12" ht="26" x14ac:dyDescent="0.35">
      <c r="A67" s="5">
        <v>63</v>
      </c>
      <c r="B67" s="4" t="s">
        <v>67</v>
      </c>
      <c r="C67" s="21">
        <v>0</v>
      </c>
      <c r="D67" s="21">
        <v>0</v>
      </c>
      <c r="E67" s="21">
        <v>0</v>
      </c>
      <c r="F67" s="22">
        <v>70</v>
      </c>
      <c r="G67" s="19">
        <f t="shared" si="6"/>
        <v>70</v>
      </c>
      <c r="H67" s="20" t="str">
        <f t="shared" si="1"/>
        <v>يُعاد</v>
      </c>
      <c r="I67" s="20" t="str">
        <f t="shared" si="2"/>
        <v>يُعاد</v>
      </c>
      <c r="J67" s="20" t="str">
        <f t="shared" si="3"/>
        <v>يُعاد</v>
      </c>
      <c r="K67" s="20" t="str">
        <f t="shared" si="4"/>
        <v>ممتاز</v>
      </c>
      <c r="L67" s="24" t="str">
        <f t="shared" si="5"/>
        <v>جيد</v>
      </c>
    </row>
    <row r="68" spans="1:12" ht="26" x14ac:dyDescent="0.35">
      <c r="A68" s="5">
        <v>64</v>
      </c>
      <c r="B68" s="4" t="s">
        <v>68</v>
      </c>
      <c r="C68" s="21">
        <v>0</v>
      </c>
      <c r="D68" s="21">
        <v>0</v>
      </c>
      <c r="E68" s="21">
        <v>0</v>
      </c>
      <c r="F68" s="22">
        <v>0</v>
      </c>
      <c r="G68" s="19">
        <f t="shared" si="6"/>
        <v>0</v>
      </c>
      <c r="H68" s="20" t="str">
        <f t="shared" si="1"/>
        <v>يُعاد</v>
      </c>
      <c r="I68" s="20" t="str">
        <f t="shared" si="2"/>
        <v>يُعاد</v>
      </c>
      <c r="J68" s="20" t="str">
        <f t="shared" si="3"/>
        <v>يُعاد</v>
      </c>
      <c r="K68" s="20" t="str">
        <f t="shared" si="4"/>
        <v>يُعاد</v>
      </c>
      <c r="L68" s="24" t="str">
        <f t="shared" si="5"/>
        <v>راسب</v>
      </c>
    </row>
    <row r="69" spans="1:12" ht="26.5" thickBot="1" x14ac:dyDescent="0.4">
      <c r="A69" s="11">
        <v>65</v>
      </c>
      <c r="B69" s="6" t="s">
        <v>69</v>
      </c>
      <c r="C69" s="23">
        <v>0</v>
      </c>
      <c r="D69" s="23">
        <v>0</v>
      </c>
      <c r="E69" s="23">
        <v>0</v>
      </c>
      <c r="F69" s="22">
        <v>0</v>
      </c>
      <c r="G69" s="25">
        <f t="shared" si="6"/>
        <v>0</v>
      </c>
      <c r="H69" s="20" t="str">
        <f t="shared" si="1"/>
        <v>يُعاد</v>
      </c>
      <c r="I69" s="20" t="str">
        <f t="shared" si="2"/>
        <v>يُعاد</v>
      </c>
      <c r="J69" s="20" t="str">
        <f t="shared" si="3"/>
        <v>يُعاد</v>
      </c>
      <c r="K69" s="20" t="str">
        <f t="shared" si="4"/>
        <v>يُعاد</v>
      </c>
      <c r="L69" s="24" t="str">
        <f t="shared" si="5"/>
        <v>راسب</v>
      </c>
    </row>
  </sheetData>
  <autoFilter ref="A5:E69" xr:uid="{00000000-0009-0000-0000-000000000000}">
    <sortState xmlns:xlrd2="http://schemas.microsoft.com/office/spreadsheetml/2017/richdata2" ref="A6:G74">
      <sortCondition ref="B5"/>
    </sortState>
  </autoFilter>
  <sortState xmlns:xlrd2="http://schemas.microsoft.com/office/spreadsheetml/2017/richdata2" ref="B5:B74">
    <sortCondition ref="B74"/>
  </sortState>
  <mergeCells count="6">
    <mergeCell ref="A1:L1"/>
    <mergeCell ref="A2:L2"/>
    <mergeCell ref="A3:A4"/>
    <mergeCell ref="B3:B4"/>
    <mergeCell ref="L3:L4"/>
    <mergeCell ref="G3:G4"/>
  </mergeCells>
  <pageMargins left="1.0900000000000001" right="0.7" top="0.75" bottom="0.75" header="0.3" footer="0.3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حضانة</vt:lpstr>
      <vt:lpstr>حضانة!Print_Titles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2026-04-25T09:20:05Z</dcterms:modified>
</cp:coreProperties>
</file>