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-60" yWindow="-60" windowWidth="15480" windowHeight="11640" tabRatio="732" firstSheet="1" activeTab="1"/>
  </bookViews>
  <sheets>
    <sheet name="حضانة" sheetId="6" r:id="rId1"/>
    <sheet name="حضانة3" sheetId="20" r:id="rId2"/>
    <sheet name="اولى " sheetId="22" r:id="rId3"/>
    <sheet name="تانية" sheetId="19" r:id="rId4"/>
    <sheet name="ثالثة" sheetId="23" r:id="rId5"/>
    <sheet name="رابعة" sheetId="24" r:id="rId6"/>
    <sheet name="خامسة" sheetId="25" r:id="rId7"/>
    <sheet name="سادسة" sheetId="26" r:id="rId8"/>
    <sheet name="اعدادى" sheetId="27" r:id="rId9"/>
    <sheet name="كبار" sheetId="28" r:id="rId10"/>
  </sheets>
  <definedNames>
    <definedName name="_xlnm._FilterDatabase" localSheetId="0" hidden="1">حضانة!$A$5:$E$69</definedName>
    <definedName name="_xlnm.Print_Titles" localSheetId="0">حضانة!$1:$4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8" i="24" l="1"/>
  <c r="L38" i="24" s="1"/>
  <c r="G39" i="24"/>
  <c r="L39" i="24" s="1"/>
  <c r="H38" i="24"/>
  <c r="H39" i="24"/>
  <c r="I38" i="24"/>
  <c r="I39" i="24"/>
  <c r="J38" i="24"/>
  <c r="J39" i="24"/>
  <c r="K38" i="24"/>
  <c r="K39" i="24"/>
  <c r="K37" i="24"/>
  <c r="J37" i="24"/>
  <c r="I37" i="24"/>
  <c r="H37" i="24"/>
  <c r="G37" i="24"/>
  <c r="L37" i="24" s="1"/>
  <c r="K36" i="24"/>
  <c r="J36" i="24"/>
  <c r="I36" i="24"/>
  <c r="H36" i="24"/>
  <c r="G36" i="24"/>
  <c r="L36" i="24" s="1"/>
  <c r="K35" i="24"/>
  <c r="J35" i="24"/>
  <c r="I35" i="24"/>
  <c r="H35" i="24"/>
  <c r="G35" i="24"/>
  <c r="L35" i="24" s="1"/>
  <c r="K34" i="24"/>
  <c r="J34" i="24"/>
  <c r="I34" i="24"/>
  <c r="H34" i="24"/>
  <c r="G34" i="24"/>
  <c r="L34" i="24" s="1"/>
  <c r="K33" i="24"/>
  <c r="J33" i="24"/>
  <c r="I33" i="24"/>
  <c r="H33" i="24"/>
  <c r="G33" i="24"/>
  <c r="L33" i="24" s="1"/>
  <c r="K32" i="24"/>
  <c r="J32" i="24"/>
  <c r="I32" i="24"/>
  <c r="H32" i="24"/>
  <c r="G32" i="24"/>
  <c r="L32" i="24" s="1"/>
  <c r="K31" i="24"/>
  <c r="J31" i="24"/>
  <c r="I31" i="24"/>
  <c r="H31" i="24"/>
  <c r="G31" i="24"/>
  <c r="L31" i="24" s="1"/>
  <c r="K30" i="24"/>
  <c r="J30" i="24"/>
  <c r="I30" i="24"/>
  <c r="H30" i="24"/>
  <c r="G30" i="24"/>
  <c r="L30" i="24" s="1"/>
  <c r="K29" i="24"/>
  <c r="J29" i="24"/>
  <c r="I29" i="24"/>
  <c r="H29" i="24"/>
  <c r="G29" i="24"/>
  <c r="L29" i="24" s="1"/>
  <c r="K28" i="24"/>
  <c r="J28" i="24"/>
  <c r="I28" i="24"/>
  <c r="H28" i="24"/>
  <c r="G28" i="24"/>
  <c r="L28" i="24" s="1"/>
  <c r="K27" i="24"/>
  <c r="J27" i="24"/>
  <c r="I27" i="24"/>
  <c r="H27" i="24"/>
  <c r="G27" i="24"/>
  <c r="L27" i="24" s="1"/>
  <c r="K26" i="24"/>
  <c r="J26" i="24"/>
  <c r="I26" i="24"/>
  <c r="H26" i="24"/>
  <c r="G26" i="24"/>
  <c r="L26" i="24" s="1"/>
  <c r="K25" i="24"/>
  <c r="J25" i="24"/>
  <c r="I25" i="24"/>
  <c r="H25" i="24"/>
  <c r="G25" i="24"/>
  <c r="L25" i="24" s="1"/>
  <c r="K24" i="24"/>
  <c r="J24" i="24"/>
  <c r="I24" i="24"/>
  <c r="H24" i="24"/>
  <c r="G24" i="24"/>
  <c r="L24" i="24" s="1"/>
  <c r="K23" i="24"/>
  <c r="J23" i="24"/>
  <c r="I23" i="24"/>
  <c r="H23" i="24"/>
  <c r="G23" i="24"/>
  <c r="L23" i="24" s="1"/>
  <c r="K22" i="24"/>
  <c r="J22" i="24"/>
  <c r="I22" i="24"/>
  <c r="H22" i="24"/>
  <c r="G22" i="24"/>
  <c r="L22" i="24" s="1"/>
  <c r="K21" i="24"/>
  <c r="J21" i="24"/>
  <c r="I21" i="24"/>
  <c r="H21" i="24"/>
  <c r="G21" i="24"/>
  <c r="L21" i="24" s="1"/>
  <c r="K20" i="24"/>
  <c r="J20" i="24"/>
  <c r="I20" i="24"/>
  <c r="H20" i="24"/>
  <c r="G20" i="24"/>
  <c r="L20" i="24" s="1"/>
  <c r="K19" i="24"/>
  <c r="J19" i="24"/>
  <c r="I19" i="24"/>
  <c r="H19" i="24"/>
  <c r="G19" i="24"/>
  <c r="L19" i="24" s="1"/>
  <c r="K18" i="24"/>
  <c r="J18" i="24"/>
  <c r="I18" i="24"/>
  <c r="H18" i="24"/>
  <c r="G18" i="24"/>
  <c r="L18" i="24" s="1"/>
  <c r="K17" i="24"/>
  <c r="J17" i="24"/>
  <c r="I17" i="24"/>
  <c r="H17" i="24"/>
  <c r="G17" i="24"/>
  <c r="L17" i="24" s="1"/>
  <c r="K16" i="24"/>
  <c r="J16" i="24"/>
  <c r="I16" i="24"/>
  <c r="H16" i="24"/>
  <c r="G16" i="24"/>
  <c r="L16" i="24" s="1"/>
  <c r="K15" i="24"/>
  <c r="J15" i="24"/>
  <c r="I15" i="24"/>
  <c r="H15" i="24"/>
  <c r="G15" i="24"/>
  <c r="L15" i="24" s="1"/>
  <c r="K14" i="24"/>
  <c r="J14" i="24"/>
  <c r="I14" i="24"/>
  <c r="H14" i="24"/>
  <c r="G14" i="24"/>
  <c r="L14" i="24" s="1"/>
  <c r="K13" i="24"/>
  <c r="J13" i="24"/>
  <c r="I13" i="24"/>
  <c r="H13" i="24"/>
  <c r="G13" i="24"/>
  <c r="L13" i="24" s="1"/>
  <c r="K12" i="24"/>
  <c r="J12" i="24"/>
  <c r="I12" i="24"/>
  <c r="H12" i="24"/>
  <c r="G12" i="24"/>
  <c r="L12" i="24" s="1"/>
  <c r="K11" i="24"/>
  <c r="J11" i="24"/>
  <c r="I11" i="24"/>
  <c r="H11" i="24"/>
  <c r="G11" i="24"/>
  <c r="L11" i="24" s="1"/>
  <c r="K10" i="24"/>
  <c r="J10" i="24"/>
  <c r="I10" i="24"/>
  <c r="H10" i="24"/>
  <c r="G10" i="24"/>
  <c r="L10" i="24" s="1"/>
  <c r="K9" i="24"/>
  <c r="J9" i="24"/>
  <c r="I9" i="24"/>
  <c r="H9" i="24"/>
  <c r="G9" i="24"/>
  <c r="L9" i="24" s="1"/>
  <c r="K8" i="24"/>
  <c r="J8" i="24"/>
  <c r="I8" i="24"/>
  <c r="H8" i="24"/>
  <c r="G8" i="24"/>
  <c r="L8" i="24" s="1"/>
  <c r="K7" i="24"/>
  <c r="J7" i="24"/>
  <c r="I7" i="24"/>
  <c r="H7" i="24"/>
  <c r="G7" i="24"/>
  <c r="L7" i="24" s="1"/>
  <c r="K6" i="24"/>
  <c r="J6" i="24"/>
  <c r="I6" i="24"/>
  <c r="H6" i="24"/>
  <c r="G6" i="24"/>
  <c r="L6" i="24" s="1"/>
  <c r="K5" i="24"/>
  <c r="J5" i="24"/>
  <c r="I5" i="24"/>
  <c r="H5" i="24"/>
  <c r="G5" i="24"/>
  <c r="L5" i="24" s="1"/>
  <c r="K37" i="26"/>
  <c r="J37" i="26"/>
  <c r="I37" i="26"/>
  <c r="H37" i="26"/>
  <c r="G37" i="26"/>
  <c r="L37" i="26" s="1"/>
  <c r="K36" i="26"/>
  <c r="J36" i="26"/>
  <c r="I36" i="26"/>
  <c r="H36" i="26"/>
  <c r="G36" i="26"/>
  <c r="L36" i="26" s="1"/>
  <c r="K35" i="26"/>
  <c r="J35" i="26"/>
  <c r="I35" i="26"/>
  <c r="H35" i="26"/>
  <c r="G35" i="26"/>
  <c r="L35" i="26" s="1"/>
  <c r="K34" i="26"/>
  <c r="J34" i="26"/>
  <c r="I34" i="26"/>
  <c r="H34" i="26"/>
  <c r="G34" i="26"/>
  <c r="L34" i="26" s="1"/>
  <c r="K33" i="26"/>
  <c r="J33" i="26"/>
  <c r="I33" i="26"/>
  <c r="H33" i="26"/>
  <c r="G33" i="26"/>
  <c r="L33" i="26" s="1"/>
  <c r="K32" i="26"/>
  <c r="J32" i="26"/>
  <c r="I32" i="26"/>
  <c r="H32" i="26"/>
  <c r="G32" i="26"/>
  <c r="L32" i="26" s="1"/>
  <c r="K31" i="26"/>
  <c r="J31" i="26"/>
  <c r="I31" i="26"/>
  <c r="H31" i="26"/>
  <c r="G31" i="26"/>
  <c r="L31" i="26" s="1"/>
  <c r="K30" i="26"/>
  <c r="J30" i="26"/>
  <c r="I30" i="26"/>
  <c r="H30" i="26"/>
  <c r="G30" i="26"/>
  <c r="L30" i="26" s="1"/>
  <c r="K29" i="26"/>
  <c r="J29" i="26"/>
  <c r="I29" i="26"/>
  <c r="H29" i="26"/>
  <c r="G29" i="26"/>
  <c r="L29" i="26" s="1"/>
  <c r="K28" i="26"/>
  <c r="J28" i="26"/>
  <c r="I28" i="26"/>
  <c r="H28" i="26"/>
  <c r="G28" i="26"/>
  <c r="L28" i="26" s="1"/>
  <c r="K27" i="26"/>
  <c r="J27" i="26"/>
  <c r="I27" i="26"/>
  <c r="H27" i="26"/>
  <c r="G27" i="26"/>
  <c r="L27" i="26" s="1"/>
  <c r="K26" i="26"/>
  <c r="J26" i="26"/>
  <c r="I26" i="26"/>
  <c r="H26" i="26"/>
  <c r="G26" i="26"/>
  <c r="L26" i="26" s="1"/>
  <c r="K25" i="26"/>
  <c r="J25" i="26"/>
  <c r="I25" i="26"/>
  <c r="H25" i="26"/>
  <c r="G25" i="26"/>
  <c r="L25" i="26" s="1"/>
  <c r="K24" i="26"/>
  <c r="J24" i="26"/>
  <c r="I24" i="26"/>
  <c r="H24" i="26"/>
  <c r="G24" i="26"/>
  <c r="L24" i="26" s="1"/>
  <c r="K23" i="26"/>
  <c r="J23" i="26"/>
  <c r="I23" i="26"/>
  <c r="H23" i="26"/>
  <c r="G23" i="26"/>
  <c r="L23" i="26" s="1"/>
  <c r="K22" i="26"/>
  <c r="J22" i="26"/>
  <c r="I22" i="26"/>
  <c r="H22" i="26"/>
  <c r="G22" i="26"/>
  <c r="L22" i="26" s="1"/>
  <c r="K21" i="26"/>
  <c r="J21" i="26"/>
  <c r="I21" i="26"/>
  <c r="H21" i="26"/>
  <c r="G21" i="26"/>
  <c r="L21" i="26" s="1"/>
  <c r="K20" i="26"/>
  <c r="J20" i="26"/>
  <c r="I20" i="26"/>
  <c r="H20" i="26"/>
  <c r="G20" i="26"/>
  <c r="L20" i="26" s="1"/>
  <c r="K19" i="26"/>
  <c r="J19" i="26"/>
  <c r="I19" i="26"/>
  <c r="H19" i="26"/>
  <c r="G19" i="26"/>
  <c r="L19" i="26" s="1"/>
  <c r="K18" i="26"/>
  <c r="J18" i="26"/>
  <c r="I18" i="26"/>
  <c r="H18" i="26"/>
  <c r="G18" i="26"/>
  <c r="L18" i="26" s="1"/>
  <c r="K17" i="26"/>
  <c r="J17" i="26"/>
  <c r="I17" i="26"/>
  <c r="H17" i="26"/>
  <c r="G17" i="26"/>
  <c r="L17" i="26" s="1"/>
  <c r="K16" i="26"/>
  <c r="J16" i="26"/>
  <c r="I16" i="26"/>
  <c r="H16" i="26"/>
  <c r="G16" i="26"/>
  <c r="L16" i="26" s="1"/>
  <c r="K15" i="26"/>
  <c r="J15" i="26"/>
  <c r="I15" i="26"/>
  <c r="H15" i="26"/>
  <c r="G15" i="26"/>
  <c r="L15" i="26" s="1"/>
  <c r="K14" i="26"/>
  <c r="J14" i="26"/>
  <c r="I14" i="26"/>
  <c r="H14" i="26"/>
  <c r="G14" i="26"/>
  <c r="L14" i="26" s="1"/>
  <c r="K13" i="26"/>
  <c r="J13" i="26"/>
  <c r="I13" i="26"/>
  <c r="H13" i="26"/>
  <c r="G13" i="26"/>
  <c r="L13" i="26" s="1"/>
  <c r="K12" i="26"/>
  <c r="J12" i="26"/>
  <c r="I12" i="26"/>
  <c r="H12" i="26"/>
  <c r="G12" i="26"/>
  <c r="L12" i="26" s="1"/>
  <c r="K11" i="26"/>
  <c r="J11" i="26"/>
  <c r="I11" i="26"/>
  <c r="H11" i="26"/>
  <c r="G11" i="26"/>
  <c r="L11" i="26" s="1"/>
  <c r="K10" i="26"/>
  <c r="J10" i="26"/>
  <c r="I10" i="26"/>
  <c r="H10" i="26"/>
  <c r="G10" i="26"/>
  <c r="L10" i="26" s="1"/>
  <c r="K9" i="26"/>
  <c r="J9" i="26"/>
  <c r="I9" i="26"/>
  <c r="H9" i="26"/>
  <c r="G9" i="26"/>
  <c r="L9" i="26" s="1"/>
  <c r="K8" i="26"/>
  <c r="J8" i="26"/>
  <c r="I8" i="26"/>
  <c r="H8" i="26"/>
  <c r="G8" i="26"/>
  <c r="L8" i="26" s="1"/>
  <c r="K7" i="26"/>
  <c r="J7" i="26"/>
  <c r="I7" i="26"/>
  <c r="H7" i="26"/>
  <c r="G7" i="26"/>
  <c r="L7" i="26" s="1"/>
  <c r="K6" i="26"/>
  <c r="J6" i="26"/>
  <c r="I6" i="26"/>
  <c r="H6" i="26"/>
  <c r="G6" i="26"/>
  <c r="L6" i="26" s="1"/>
  <c r="K5" i="26"/>
  <c r="J5" i="26"/>
  <c r="I5" i="26"/>
  <c r="H5" i="26"/>
  <c r="G5" i="26"/>
  <c r="L5" i="26" s="1"/>
  <c r="K39" i="25"/>
  <c r="J39" i="25"/>
  <c r="I39" i="25"/>
  <c r="H39" i="25"/>
  <c r="G39" i="25"/>
  <c r="L39" i="25" s="1"/>
  <c r="K38" i="25"/>
  <c r="J38" i="25"/>
  <c r="I38" i="25"/>
  <c r="H38" i="25"/>
  <c r="G38" i="25"/>
  <c r="L38" i="25" s="1"/>
  <c r="K37" i="25"/>
  <c r="J37" i="25"/>
  <c r="I37" i="25"/>
  <c r="H37" i="25"/>
  <c r="G37" i="25"/>
  <c r="L37" i="25" s="1"/>
  <c r="K36" i="25"/>
  <c r="J36" i="25"/>
  <c r="I36" i="25"/>
  <c r="H36" i="25"/>
  <c r="G36" i="25"/>
  <c r="L36" i="25" s="1"/>
  <c r="K35" i="25"/>
  <c r="J35" i="25"/>
  <c r="I35" i="25"/>
  <c r="H35" i="25"/>
  <c r="G35" i="25"/>
  <c r="L35" i="25" s="1"/>
  <c r="K34" i="25"/>
  <c r="J34" i="25"/>
  <c r="I34" i="25"/>
  <c r="H34" i="25"/>
  <c r="G34" i="25"/>
  <c r="L34" i="25" s="1"/>
  <c r="K33" i="25"/>
  <c r="J33" i="25"/>
  <c r="I33" i="25"/>
  <c r="H33" i="25"/>
  <c r="G33" i="25"/>
  <c r="L33" i="25" s="1"/>
  <c r="K32" i="25"/>
  <c r="J32" i="25"/>
  <c r="I32" i="25"/>
  <c r="H32" i="25"/>
  <c r="G32" i="25"/>
  <c r="L32" i="25" s="1"/>
  <c r="K31" i="25"/>
  <c r="J31" i="25"/>
  <c r="I31" i="25"/>
  <c r="H31" i="25"/>
  <c r="G31" i="25"/>
  <c r="L31" i="25" s="1"/>
  <c r="K30" i="25"/>
  <c r="J30" i="25"/>
  <c r="I30" i="25"/>
  <c r="H30" i="25"/>
  <c r="G30" i="25"/>
  <c r="L30" i="25" s="1"/>
  <c r="K29" i="25"/>
  <c r="J29" i="25"/>
  <c r="I29" i="25"/>
  <c r="H29" i="25"/>
  <c r="G29" i="25"/>
  <c r="L29" i="25" s="1"/>
  <c r="K28" i="25"/>
  <c r="J28" i="25"/>
  <c r="I28" i="25"/>
  <c r="H28" i="25"/>
  <c r="G28" i="25"/>
  <c r="L28" i="25" s="1"/>
  <c r="K27" i="25"/>
  <c r="J27" i="25"/>
  <c r="I27" i="25"/>
  <c r="H27" i="25"/>
  <c r="G27" i="25"/>
  <c r="L27" i="25" s="1"/>
  <c r="K26" i="25"/>
  <c r="J26" i="25"/>
  <c r="I26" i="25"/>
  <c r="H26" i="25"/>
  <c r="G26" i="25"/>
  <c r="L26" i="25" s="1"/>
  <c r="K25" i="25"/>
  <c r="J25" i="25"/>
  <c r="I25" i="25"/>
  <c r="H25" i="25"/>
  <c r="G25" i="25"/>
  <c r="L25" i="25" s="1"/>
  <c r="K24" i="25"/>
  <c r="J24" i="25"/>
  <c r="I24" i="25"/>
  <c r="H24" i="25"/>
  <c r="G24" i="25"/>
  <c r="L24" i="25" s="1"/>
  <c r="K23" i="25"/>
  <c r="J23" i="25"/>
  <c r="I23" i="25"/>
  <c r="H23" i="25"/>
  <c r="G23" i="25"/>
  <c r="L23" i="25" s="1"/>
  <c r="K22" i="25"/>
  <c r="J22" i="25"/>
  <c r="I22" i="25"/>
  <c r="H22" i="25"/>
  <c r="G22" i="25"/>
  <c r="L22" i="25" s="1"/>
  <c r="K21" i="25"/>
  <c r="J21" i="25"/>
  <c r="I21" i="25"/>
  <c r="H21" i="25"/>
  <c r="G21" i="25"/>
  <c r="L21" i="25" s="1"/>
  <c r="K20" i="25"/>
  <c r="J20" i="25"/>
  <c r="I20" i="25"/>
  <c r="H20" i="25"/>
  <c r="G20" i="25"/>
  <c r="L20" i="25" s="1"/>
  <c r="K19" i="25"/>
  <c r="J19" i="25"/>
  <c r="I19" i="25"/>
  <c r="H19" i="25"/>
  <c r="G19" i="25"/>
  <c r="L19" i="25" s="1"/>
  <c r="K18" i="25"/>
  <c r="J18" i="25"/>
  <c r="I18" i="25"/>
  <c r="H18" i="25"/>
  <c r="G18" i="25"/>
  <c r="L18" i="25" s="1"/>
  <c r="K17" i="25"/>
  <c r="J17" i="25"/>
  <c r="I17" i="25"/>
  <c r="H17" i="25"/>
  <c r="G17" i="25"/>
  <c r="L17" i="25" s="1"/>
  <c r="K16" i="25"/>
  <c r="J16" i="25"/>
  <c r="I16" i="25"/>
  <c r="H16" i="25"/>
  <c r="G16" i="25"/>
  <c r="L16" i="25" s="1"/>
  <c r="K15" i="25"/>
  <c r="J15" i="25"/>
  <c r="I15" i="25"/>
  <c r="H15" i="25"/>
  <c r="G15" i="25"/>
  <c r="L15" i="25" s="1"/>
  <c r="K14" i="25"/>
  <c r="J14" i="25"/>
  <c r="I14" i="25"/>
  <c r="H14" i="25"/>
  <c r="G14" i="25"/>
  <c r="L14" i="25" s="1"/>
  <c r="K13" i="25"/>
  <c r="J13" i="25"/>
  <c r="I13" i="25"/>
  <c r="H13" i="25"/>
  <c r="G13" i="25"/>
  <c r="L13" i="25" s="1"/>
  <c r="K12" i="25"/>
  <c r="J12" i="25"/>
  <c r="I12" i="25"/>
  <c r="H12" i="25"/>
  <c r="G12" i="25"/>
  <c r="L12" i="25" s="1"/>
  <c r="K11" i="25"/>
  <c r="J11" i="25"/>
  <c r="I11" i="25"/>
  <c r="H11" i="25"/>
  <c r="G11" i="25"/>
  <c r="L11" i="25" s="1"/>
  <c r="K10" i="25"/>
  <c r="J10" i="25"/>
  <c r="I10" i="25"/>
  <c r="H10" i="25"/>
  <c r="G10" i="25"/>
  <c r="L10" i="25" s="1"/>
  <c r="K9" i="25"/>
  <c r="J9" i="25"/>
  <c r="I9" i="25"/>
  <c r="H9" i="25"/>
  <c r="G9" i="25"/>
  <c r="L9" i="25" s="1"/>
  <c r="K8" i="25"/>
  <c r="J8" i="25"/>
  <c r="I8" i="25"/>
  <c r="H8" i="25"/>
  <c r="G8" i="25"/>
  <c r="L8" i="25" s="1"/>
  <c r="K7" i="25"/>
  <c r="J7" i="25"/>
  <c r="I7" i="25"/>
  <c r="H7" i="25"/>
  <c r="G7" i="25"/>
  <c r="L7" i="25" s="1"/>
  <c r="K6" i="25"/>
  <c r="J6" i="25"/>
  <c r="I6" i="25"/>
  <c r="H6" i="25"/>
  <c r="G6" i="25"/>
  <c r="L6" i="25" s="1"/>
  <c r="K5" i="25"/>
  <c r="J5" i="25"/>
  <c r="I5" i="25"/>
  <c r="H5" i="25"/>
  <c r="G5" i="25"/>
  <c r="L5" i="25" s="1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5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I27" i="27"/>
  <c r="H27" i="27"/>
  <c r="G27" i="27"/>
  <c r="F27" i="27"/>
  <c r="I26" i="27"/>
  <c r="H26" i="27"/>
  <c r="G26" i="27"/>
  <c r="F26" i="27"/>
  <c r="I25" i="27"/>
  <c r="H25" i="27"/>
  <c r="G25" i="27"/>
  <c r="F25" i="27"/>
  <c r="I24" i="27"/>
  <c r="H24" i="27"/>
  <c r="G24" i="27"/>
  <c r="F24" i="27"/>
  <c r="I23" i="27"/>
  <c r="H23" i="27"/>
  <c r="G23" i="27"/>
  <c r="F23" i="27"/>
  <c r="I22" i="27"/>
  <c r="H22" i="27"/>
  <c r="G22" i="27"/>
  <c r="F22" i="27"/>
  <c r="I21" i="27"/>
  <c r="H21" i="27"/>
  <c r="G21" i="27"/>
  <c r="F21" i="27"/>
  <c r="I20" i="27"/>
  <c r="H20" i="27"/>
  <c r="G20" i="27"/>
  <c r="F20" i="27"/>
  <c r="I19" i="27"/>
  <c r="H19" i="27"/>
  <c r="G19" i="27"/>
  <c r="F19" i="27"/>
  <c r="I18" i="27"/>
  <c r="H18" i="27"/>
  <c r="G18" i="27"/>
  <c r="F18" i="27"/>
  <c r="I17" i="27"/>
  <c r="H17" i="27"/>
  <c r="G17" i="27"/>
  <c r="F17" i="27"/>
  <c r="I16" i="27"/>
  <c r="H16" i="27"/>
  <c r="G16" i="27"/>
  <c r="F16" i="27"/>
  <c r="I15" i="27"/>
  <c r="H15" i="27"/>
  <c r="G15" i="27"/>
  <c r="F15" i="27"/>
  <c r="I14" i="27"/>
  <c r="H14" i="27"/>
  <c r="G14" i="27"/>
  <c r="F14" i="27"/>
  <c r="I13" i="27"/>
  <c r="H13" i="27"/>
  <c r="G13" i="27"/>
  <c r="F13" i="27"/>
  <c r="I12" i="27"/>
  <c r="H12" i="27"/>
  <c r="G12" i="27"/>
  <c r="F12" i="27"/>
  <c r="I11" i="27"/>
  <c r="H11" i="27"/>
  <c r="G11" i="27"/>
  <c r="F11" i="27"/>
  <c r="I10" i="27"/>
  <c r="H10" i="27"/>
  <c r="G10" i="27"/>
  <c r="F10" i="27"/>
  <c r="I9" i="27"/>
  <c r="H9" i="27"/>
  <c r="G9" i="27"/>
  <c r="F9" i="27"/>
  <c r="I8" i="27"/>
  <c r="H8" i="27"/>
  <c r="G8" i="27"/>
  <c r="F8" i="27"/>
  <c r="I7" i="27"/>
  <c r="H7" i="27"/>
  <c r="G7" i="27"/>
  <c r="F7" i="27"/>
  <c r="I6" i="27"/>
  <c r="H6" i="27"/>
  <c r="G6" i="27"/>
  <c r="F6" i="27"/>
  <c r="I5" i="27"/>
  <c r="H5" i="27"/>
  <c r="G5" i="27"/>
  <c r="F5" i="27"/>
  <c r="K27" i="28"/>
  <c r="J27" i="28"/>
  <c r="I27" i="28"/>
  <c r="H27" i="28"/>
  <c r="G27" i="28"/>
  <c r="L27" i="28" s="1"/>
  <c r="K26" i="28"/>
  <c r="J26" i="28"/>
  <c r="I26" i="28"/>
  <c r="H26" i="28"/>
  <c r="G26" i="28"/>
  <c r="L26" i="28" s="1"/>
  <c r="K25" i="28"/>
  <c r="J25" i="28"/>
  <c r="I25" i="28"/>
  <c r="H25" i="28"/>
  <c r="G25" i="28"/>
  <c r="L25" i="28" s="1"/>
  <c r="K24" i="28"/>
  <c r="J24" i="28"/>
  <c r="I24" i="28"/>
  <c r="H24" i="28"/>
  <c r="G24" i="28"/>
  <c r="L24" i="28" s="1"/>
  <c r="K23" i="28"/>
  <c r="J23" i="28"/>
  <c r="I23" i="28"/>
  <c r="H23" i="28"/>
  <c r="G23" i="28"/>
  <c r="L23" i="28" s="1"/>
  <c r="K22" i="28"/>
  <c r="J22" i="28"/>
  <c r="I22" i="28"/>
  <c r="H22" i="28"/>
  <c r="G22" i="28"/>
  <c r="L22" i="28" s="1"/>
  <c r="K21" i="28"/>
  <c r="J21" i="28"/>
  <c r="I21" i="28"/>
  <c r="H21" i="28"/>
  <c r="G21" i="28"/>
  <c r="L21" i="28" s="1"/>
  <c r="K20" i="28"/>
  <c r="J20" i="28"/>
  <c r="I20" i="28"/>
  <c r="H20" i="28"/>
  <c r="G20" i="28"/>
  <c r="L20" i="28" s="1"/>
  <c r="K19" i="28"/>
  <c r="J19" i="28"/>
  <c r="I19" i="28"/>
  <c r="H19" i="28"/>
  <c r="G19" i="28"/>
  <c r="L19" i="28" s="1"/>
  <c r="K18" i="28"/>
  <c r="J18" i="28"/>
  <c r="I18" i="28"/>
  <c r="H18" i="28"/>
  <c r="G18" i="28"/>
  <c r="L18" i="28" s="1"/>
  <c r="K17" i="28"/>
  <c r="J17" i="28"/>
  <c r="I17" i="28"/>
  <c r="H17" i="28"/>
  <c r="G17" i="28"/>
  <c r="L17" i="28" s="1"/>
  <c r="K16" i="28"/>
  <c r="J16" i="28"/>
  <c r="I16" i="28"/>
  <c r="H16" i="28"/>
  <c r="G16" i="28"/>
  <c r="L16" i="28" s="1"/>
  <c r="K15" i="28"/>
  <c r="J15" i="28"/>
  <c r="I15" i="28"/>
  <c r="H15" i="28"/>
  <c r="G15" i="28"/>
  <c r="L15" i="28" s="1"/>
  <c r="K14" i="28"/>
  <c r="J14" i="28"/>
  <c r="I14" i="28"/>
  <c r="H14" i="28"/>
  <c r="G14" i="28"/>
  <c r="L14" i="28" s="1"/>
  <c r="K13" i="28"/>
  <c r="J13" i="28"/>
  <c r="I13" i="28"/>
  <c r="H13" i="28"/>
  <c r="G13" i="28"/>
  <c r="L13" i="28" s="1"/>
  <c r="K12" i="28"/>
  <c r="J12" i="28"/>
  <c r="I12" i="28"/>
  <c r="H12" i="28"/>
  <c r="G12" i="28"/>
  <c r="L12" i="28" s="1"/>
  <c r="K11" i="28"/>
  <c r="J11" i="28"/>
  <c r="I11" i="28"/>
  <c r="H11" i="28"/>
  <c r="G11" i="28"/>
  <c r="L11" i="28" s="1"/>
  <c r="K10" i="28"/>
  <c r="J10" i="28"/>
  <c r="I10" i="28"/>
  <c r="H10" i="28"/>
  <c r="G10" i="28"/>
  <c r="L10" i="28" s="1"/>
  <c r="K9" i="28"/>
  <c r="J9" i="28"/>
  <c r="I9" i="28"/>
  <c r="H9" i="28"/>
  <c r="G9" i="28"/>
  <c r="L9" i="28" s="1"/>
  <c r="K8" i="28"/>
  <c r="J8" i="28"/>
  <c r="I8" i="28"/>
  <c r="H8" i="28"/>
  <c r="G8" i="28"/>
  <c r="L8" i="28" s="1"/>
  <c r="K7" i="28"/>
  <c r="J7" i="28"/>
  <c r="I7" i="28"/>
  <c r="H7" i="28"/>
  <c r="G7" i="28"/>
  <c r="L7" i="28" s="1"/>
  <c r="K6" i="28"/>
  <c r="J6" i="28"/>
  <c r="I6" i="28"/>
  <c r="H6" i="28"/>
  <c r="G6" i="28"/>
  <c r="L6" i="28" s="1"/>
  <c r="K5" i="28"/>
  <c r="J5" i="28"/>
  <c r="I5" i="28"/>
  <c r="H5" i="28"/>
  <c r="G5" i="28"/>
  <c r="L5" i="28" s="1"/>
  <c r="K56" i="23"/>
  <c r="J56" i="23"/>
  <c r="I56" i="23"/>
  <c r="H56" i="23"/>
  <c r="G56" i="23"/>
  <c r="L56" i="23" s="1"/>
  <c r="K55" i="23"/>
  <c r="J55" i="23"/>
  <c r="I55" i="23"/>
  <c r="H55" i="23"/>
  <c r="G55" i="23"/>
  <c r="L55" i="23" s="1"/>
  <c r="K54" i="23"/>
  <c r="J54" i="23"/>
  <c r="I54" i="23"/>
  <c r="H54" i="23"/>
  <c r="G54" i="23"/>
  <c r="L54" i="23" s="1"/>
  <c r="K53" i="23"/>
  <c r="J53" i="23"/>
  <c r="I53" i="23"/>
  <c r="H53" i="23"/>
  <c r="G53" i="23"/>
  <c r="L53" i="23" s="1"/>
  <c r="K52" i="23"/>
  <c r="J52" i="23"/>
  <c r="I52" i="23"/>
  <c r="H52" i="23"/>
  <c r="G52" i="23"/>
  <c r="L52" i="23" s="1"/>
  <c r="K51" i="23"/>
  <c r="J51" i="23"/>
  <c r="I51" i="23"/>
  <c r="H51" i="23"/>
  <c r="G51" i="23"/>
  <c r="L51" i="23" s="1"/>
  <c r="K50" i="23"/>
  <c r="J50" i="23"/>
  <c r="I50" i="23"/>
  <c r="H50" i="23"/>
  <c r="G50" i="23"/>
  <c r="L50" i="23" s="1"/>
  <c r="K49" i="23"/>
  <c r="J49" i="23"/>
  <c r="I49" i="23"/>
  <c r="H49" i="23"/>
  <c r="G49" i="23"/>
  <c r="L49" i="23" s="1"/>
  <c r="K48" i="23"/>
  <c r="J48" i="23"/>
  <c r="I48" i="23"/>
  <c r="H48" i="23"/>
  <c r="G48" i="23"/>
  <c r="L48" i="23" s="1"/>
  <c r="K47" i="23"/>
  <c r="J47" i="23"/>
  <c r="I47" i="23"/>
  <c r="H47" i="23"/>
  <c r="G47" i="23"/>
  <c r="L47" i="23" s="1"/>
  <c r="K46" i="23"/>
  <c r="J46" i="23"/>
  <c r="I46" i="23"/>
  <c r="H46" i="23"/>
  <c r="G46" i="23"/>
  <c r="L46" i="23" s="1"/>
  <c r="K45" i="23"/>
  <c r="J45" i="23"/>
  <c r="I45" i="23"/>
  <c r="H45" i="23"/>
  <c r="G45" i="23"/>
  <c r="L45" i="23" s="1"/>
  <c r="K44" i="23"/>
  <c r="J44" i="23"/>
  <c r="I44" i="23"/>
  <c r="H44" i="23"/>
  <c r="G44" i="23"/>
  <c r="L44" i="23" s="1"/>
  <c r="K43" i="23"/>
  <c r="J43" i="23"/>
  <c r="I43" i="23"/>
  <c r="H43" i="23"/>
  <c r="G43" i="23"/>
  <c r="L43" i="23" s="1"/>
  <c r="K42" i="23"/>
  <c r="J42" i="23"/>
  <c r="I42" i="23"/>
  <c r="H42" i="23"/>
  <c r="G42" i="23"/>
  <c r="L42" i="23" s="1"/>
  <c r="K41" i="23"/>
  <c r="J41" i="23"/>
  <c r="I41" i="23"/>
  <c r="H41" i="23"/>
  <c r="G41" i="23"/>
  <c r="L41" i="23" s="1"/>
  <c r="K40" i="23"/>
  <c r="J40" i="23"/>
  <c r="I40" i="23"/>
  <c r="H40" i="23"/>
  <c r="G40" i="23"/>
  <c r="L40" i="23" s="1"/>
  <c r="K39" i="23"/>
  <c r="J39" i="23"/>
  <c r="I39" i="23"/>
  <c r="H39" i="23"/>
  <c r="G39" i="23"/>
  <c r="L39" i="23" s="1"/>
  <c r="K38" i="23"/>
  <c r="J38" i="23"/>
  <c r="I38" i="23"/>
  <c r="H38" i="23"/>
  <c r="G38" i="23"/>
  <c r="L38" i="23" s="1"/>
  <c r="K37" i="23"/>
  <c r="J37" i="23"/>
  <c r="I37" i="23"/>
  <c r="H37" i="23"/>
  <c r="G37" i="23"/>
  <c r="L37" i="23" s="1"/>
  <c r="K36" i="23"/>
  <c r="J36" i="23"/>
  <c r="I36" i="23"/>
  <c r="H36" i="23"/>
  <c r="G36" i="23"/>
  <c r="L36" i="23" s="1"/>
  <c r="K35" i="23"/>
  <c r="J35" i="23"/>
  <c r="I35" i="23"/>
  <c r="H35" i="23"/>
  <c r="G35" i="23"/>
  <c r="L35" i="23" s="1"/>
  <c r="K34" i="23"/>
  <c r="J34" i="23"/>
  <c r="I34" i="23"/>
  <c r="H34" i="23"/>
  <c r="G34" i="23"/>
  <c r="L34" i="23" s="1"/>
  <c r="K33" i="23"/>
  <c r="J33" i="23"/>
  <c r="I33" i="23"/>
  <c r="H33" i="23"/>
  <c r="G33" i="23"/>
  <c r="L33" i="23" s="1"/>
  <c r="K32" i="23"/>
  <c r="J32" i="23"/>
  <c r="I32" i="23"/>
  <c r="H32" i="23"/>
  <c r="G32" i="23"/>
  <c r="L32" i="23" s="1"/>
  <c r="K31" i="23"/>
  <c r="J31" i="23"/>
  <c r="I31" i="23"/>
  <c r="H31" i="23"/>
  <c r="G31" i="23"/>
  <c r="L31" i="23" s="1"/>
  <c r="K30" i="23"/>
  <c r="J30" i="23"/>
  <c r="I30" i="23"/>
  <c r="H30" i="23"/>
  <c r="G30" i="23"/>
  <c r="L30" i="23" s="1"/>
  <c r="K29" i="23"/>
  <c r="J29" i="23"/>
  <c r="I29" i="23"/>
  <c r="H29" i="23"/>
  <c r="G29" i="23"/>
  <c r="L29" i="23" s="1"/>
  <c r="K28" i="23"/>
  <c r="J28" i="23"/>
  <c r="I28" i="23"/>
  <c r="H28" i="23"/>
  <c r="G28" i="23"/>
  <c r="L28" i="23" s="1"/>
  <c r="K27" i="23"/>
  <c r="J27" i="23"/>
  <c r="I27" i="23"/>
  <c r="H27" i="23"/>
  <c r="G27" i="23"/>
  <c r="L27" i="23" s="1"/>
  <c r="K26" i="23"/>
  <c r="J26" i="23"/>
  <c r="I26" i="23"/>
  <c r="H26" i="23"/>
  <c r="G26" i="23"/>
  <c r="L26" i="23" s="1"/>
  <c r="K25" i="23"/>
  <c r="J25" i="23"/>
  <c r="I25" i="23"/>
  <c r="H25" i="23"/>
  <c r="G25" i="23"/>
  <c r="L25" i="23" s="1"/>
  <c r="K24" i="23"/>
  <c r="J24" i="23"/>
  <c r="I24" i="23"/>
  <c r="H24" i="23"/>
  <c r="G24" i="23"/>
  <c r="L24" i="23" s="1"/>
  <c r="K23" i="23"/>
  <c r="J23" i="23"/>
  <c r="I23" i="23"/>
  <c r="H23" i="23"/>
  <c r="G23" i="23"/>
  <c r="L23" i="23" s="1"/>
  <c r="K22" i="23"/>
  <c r="J22" i="23"/>
  <c r="I22" i="23"/>
  <c r="H22" i="23"/>
  <c r="G22" i="23"/>
  <c r="L22" i="23" s="1"/>
  <c r="K21" i="23"/>
  <c r="J21" i="23"/>
  <c r="I21" i="23"/>
  <c r="H21" i="23"/>
  <c r="G21" i="23"/>
  <c r="L21" i="23" s="1"/>
  <c r="K20" i="23"/>
  <c r="J20" i="23"/>
  <c r="I20" i="23"/>
  <c r="H20" i="23"/>
  <c r="G20" i="23"/>
  <c r="L20" i="23" s="1"/>
  <c r="K19" i="23"/>
  <c r="J19" i="23"/>
  <c r="I19" i="23"/>
  <c r="H19" i="23"/>
  <c r="G19" i="23"/>
  <c r="L19" i="23" s="1"/>
  <c r="K18" i="23"/>
  <c r="J18" i="23"/>
  <c r="I18" i="23"/>
  <c r="H18" i="23"/>
  <c r="G18" i="23"/>
  <c r="L18" i="23" s="1"/>
  <c r="K17" i="23"/>
  <c r="J17" i="23"/>
  <c r="I17" i="23"/>
  <c r="H17" i="23"/>
  <c r="G17" i="23"/>
  <c r="L17" i="23" s="1"/>
  <c r="K16" i="23"/>
  <c r="J16" i="23"/>
  <c r="I16" i="23"/>
  <c r="H16" i="23"/>
  <c r="G16" i="23"/>
  <c r="L16" i="23" s="1"/>
  <c r="K15" i="23"/>
  <c r="J15" i="23"/>
  <c r="I15" i="23"/>
  <c r="H15" i="23"/>
  <c r="G15" i="23"/>
  <c r="L15" i="23" s="1"/>
  <c r="K14" i="23"/>
  <c r="J14" i="23"/>
  <c r="I14" i="23"/>
  <c r="H14" i="23"/>
  <c r="G14" i="23"/>
  <c r="L14" i="23" s="1"/>
  <c r="K13" i="23"/>
  <c r="J13" i="23"/>
  <c r="I13" i="23"/>
  <c r="H13" i="23"/>
  <c r="G13" i="23"/>
  <c r="L13" i="23" s="1"/>
  <c r="K12" i="23"/>
  <c r="J12" i="23"/>
  <c r="I12" i="23"/>
  <c r="H12" i="23"/>
  <c r="G12" i="23"/>
  <c r="L12" i="23" s="1"/>
  <c r="K11" i="23"/>
  <c r="J11" i="23"/>
  <c r="I11" i="23"/>
  <c r="H11" i="23"/>
  <c r="G11" i="23"/>
  <c r="L11" i="23" s="1"/>
  <c r="K10" i="23"/>
  <c r="J10" i="23"/>
  <c r="I10" i="23"/>
  <c r="H10" i="23"/>
  <c r="G10" i="23"/>
  <c r="L10" i="23" s="1"/>
  <c r="K9" i="23"/>
  <c r="J9" i="23"/>
  <c r="I9" i="23"/>
  <c r="H9" i="23"/>
  <c r="G9" i="23"/>
  <c r="L9" i="23" s="1"/>
  <c r="K8" i="23"/>
  <c r="J8" i="23"/>
  <c r="I8" i="23"/>
  <c r="H8" i="23"/>
  <c r="G8" i="23"/>
  <c r="L8" i="23" s="1"/>
  <c r="K7" i="23"/>
  <c r="J7" i="23"/>
  <c r="I7" i="23"/>
  <c r="H7" i="23"/>
  <c r="G7" i="23"/>
  <c r="L7" i="23" s="1"/>
  <c r="K6" i="23"/>
  <c r="J6" i="23"/>
  <c r="I6" i="23"/>
  <c r="H6" i="23"/>
  <c r="G6" i="23"/>
  <c r="L6" i="23" s="1"/>
  <c r="K5" i="23"/>
  <c r="J5" i="23"/>
  <c r="I5" i="23"/>
  <c r="H5" i="23"/>
  <c r="G5" i="23"/>
  <c r="L5" i="23" s="1"/>
  <c r="K39" i="22"/>
  <c r="J39" i="22"/>
  <c r="I39" i="22"/>
  <c r="H39" i="22"/>
  <c r="G39" i="22"/>
  <c r="L39" i="22" s="1"/>
  <c r="K38" i="22"/>
  <c r="J38" i="22"/>
  <c r="I38" i="22"/>
  <c r="H38" i="22"/>
  <c r="G38" i="22"/>
  <c r="L38" i="22" s="1"/>
  <c r="K37" i="22"/>
  <c r="J37" i="22"/>
  <c r="I37" i="22"/>
  <c r="H37" i="22"/>
  <c r="G37" i="22"/>
  <c r="L37" i="22" s="1"/>
  <c r="K36" i="22"/>
  <c r="J36" i="22"/>
  <c r="I36" i="22"/>
  <c r="H36" i="22"/>
  <c r="G36" i="22"/>
  <c r="L36" i="22" s="1"/>
  <c r="K35" i="22"/>
  <c r="J35" i="22"/>
  <c r="I35" i="22"/>
  <c r="H35" i="22"/>
  <c r="G35" i="22"/>
  <c r="L35" i="22" s="1"/>
  <c r="K34" i="22"/>
  <c r="J34" i="22"/>
  <c r="I34" i="22"/>
  <c r="H34" i="22"/>
  <c r="G34" i="22"/>
  <c r="L34" i="22" s="1"/>
  <c r="K33" i="22"/>
  <c r="J33" i="22"/>
  <c r="I33" i="22"/>
  <c r="H33" i="22"/>
  <c r="G33" i="22"/>
  <c r="L33" i="22" s="1"/>
  <c r="K32" i="22"/>
  <c r="J32" i="22"/>
  <c r="I32" i="22"/>
  <c r="H32" i="22"/>
  <c r="G32" i="22"/>
  <c r="L32" i="22" s="1"/>
  <c r="K31" i="22"/>
  <c r="J31" i="22"/>
  <c r="I31" i="22"/>
  <c r="H31" i="22"/>
  <c r="G31" i="22"/>
  <c r="L31" i="22" s="1"/>
  <c r="K30" i="22"/>
  <c r="J30" i="22"/>
  <c r="I30" i="22"/>
  <c r="H30" i="22"/>
  <c r="G30" i="22"/>
  <c r="L30" i="22" s="1"/>
  <c r="K29" i="22"/>
  <c r="J29" i="22"/>
  <c r="I29" i="22"/>
  <c r="H29" i="22"/>
  <c r="G29" i="22"/>
  <c r="L29" i="22" s="1"/>
  <c r="K28" i="22"/>
  <c r="J28" i="22"/>
  <c r="I28" i="22"/>
  <c r="H28" i="22"/>
  <c r="G28" i="22"/>
  <c r="L28" i="22" s="1"/>
  <c r="K27" i="22"/>
  <c r="J27" i="22"/>
  <c r="I27" i="22"/>
  <c r="H27" i="22"/>
  <c r="G27" i="22"/>
  <c r="L27" i="22" s="1"/>
  <c r="K26" i="22"/>
  <c r="J26" i="22"/>
  <c r="I26" i="22"/>
  <c r="H26" i="22"/>
  <c r="G26" i="22"/>
  <c r="L26" i="22" s="1"/>
  <c r="K25" i="22"/>
  <c r="J25" i="22"/>
  <c r="I25" i="22"/>
  <c r="H25" i="22"/>
  <c r="G25" i="22"/>
  <c r="L25" i="22" s="1"/>
  <c r="K24" i="22"/>
  <c r="J24" i="22"/>
  <c r="I24" i="22"/>
  <c r="H24" i="22"/>
  <c r="G24" i="22"/>
  <c r="L24" i="22" s="1"/>
  <c r="K23" i="22"/>
  <c r="J23" i="22"/>
  <c r="I23" i="22"/>
  <c r="H23" i="22"/>
  <c r="G23" i="22"/>
  <c r="L23" i="22" s="1"/>
  <c r="K22" i="22"/>
  <c r="J22" i="22"/>
  <c r="I22" i="22"/>
  <c r="H22" i="22"/>
  <c r="G22" i="22"/>
  <c r="L22" i="22" s="1"/>
  <c r="K21" i="22"/>
  <c r="J21" i="22"/>
  <c r="I21" i="22"/>
  <c r="H21" i="22"/>
  <c r="G21" i="22"/>
  <c r="L21" i="22" s="1"/>
  <c r="K20" i="22"/>
  <c r="J20" i="22"/>
  <c r="I20" i="22"/>
  <c r="H20" i="22"/>
  <c r="G20" i="22"/>
  <c r="L20" i="22" s="1"/>
  <c r="K19" i="22"/>
  <c r="J19" i="22"/>
  <c r="I19" i="22"/>
  <c r="H19" i="22"/>
  <c r="G19" i="22"/>
  <c r="L19" i="22" s="1"/>
  <c r="K18" i="22"/>
  <c r="J18" i="22"/>
  <c r="I18" i="22"/>
  <c r="H18" i="22"/>
  <c r="G18" i="22"/>
  <c r="L18" i="22" s="1"/>
  <c r="K17" i="22"/>
  <c r="J17" i="22"/>
  <c r="I17" i="22"/>
  <c r="H17" i="22"/>
  <c r="G17" i="22"/>
  <c r="L17" i="22" s="1"/>
  <c r="K16" i="22"/>
  <c r="J16" i="22"/>
  <c r="I16" i="22"/>
  <c r="H16" i="22"/>
  <c r="G16" i="22"/>
  <c r="L16" i="22" s="1"/>
  <c r="K15" i="22"/>
  <c r="J15" i="22"/>
  <c r="I15" i="22"/>
  <c r="H15" i="22"/>
  <c r="G15" i="22"/>
  <c r="L15" i="22" s="1"/>
  <c r="K14" i="22"/>
  <c r="J14" i="22"/>
  <c r="I14" i="22"/>
  <c r="H14" i="22"/>
  <c r="G14" i="22"/>
  <c r="L14" i="22" s="1"/>
  <c r="K13" i="22"/>
  <c r="J13" i="22"/>
  <c r="I13" i="22"/>
  <c r="H13" i="22"/>
  <c r="G13" i="22"/>
  <c r="L13" i="22" s="1"/>
  <c r="K12" i="22"/>
  <c r="J12" i="22"/>
  <c r="I12" i="22"/>
  <c r="H12" i="22"/>
  <c r="G12" i="22"/>
  <c r="L12" i="22" s="1"/>
  <c r="K11" i="22"/>
  <c r="J11" i="22"/>
  <c r="I11" i="22"/>
  <c r="H11" i="22"/>
  <c r="G11" i="22"/>
  <c r="L11" i="22" s="1"/>
  <c r="K10" i="22"/>
  <c r="J10" i="22"/>
  <c r="I10" i="22"/>
  <c r="H10" i="22"/>
  <c r="G10" i="22"/>
  <c r="L10" i="22" s="1"/>
  <c r="K9" i="22"/>
  <c r="J9" i="22"/>
  <c r="I9" i="22"/>
  <c r="H9" i="22"/>
  <c r="G9" i="22"/>
  <c r="L9" i="22" s="1"/>
  <c r="K8" i="22"/>
  <c r="J8" i="22"/>
  <c r="I8" i="22"/>
  <c r="H8" i="22"/>
  <c r="G8" i="22"/>
  <c r="L8" i="22" s="1"/>
  <c r="K7" i="22"/>
  <c r="J7" i="22"/>
  <c r="I7" i="22"/>
  <c r="H7" i="22"/>
  <c r="G7" i="22"/>
  <c r="L7" i="22" s="1"/>
  <c r="K6" i="22"/>
  <c r="J6" i="22"/>
  <c r="I6" i="22"/>
  <c r="H6" i="22"/>
  <c r="G6" i="22"/>
  <c r="L6" i="22" s="1"/>
  <c r="K5" i="22"/>
  <c r="J5" i="22"/>
  <c r="I5" i="22"/>
  <c r="H5" i="22"/>
  <c r="G5" i="22"/>
  <c r="L5" i="22" s="1"/>
  <c r="G49" i="20"/>
  <c r="G50" i="20"/>
  <c r="G51" i="20"/>
  <c r="L51" i="20" s="1"/>
  <c r="G52" i="20"/>
  <c r="L52" i="20" s="1"/>
  <c r="G53" i="20"/>
  <c r="G54" i="20"/>
  <c r="G55" i="20"/>
  <c r="L55" i="20" s="1"/>
  <c r="G56" i="20"/>
  <c r="L56" i="20" s="1"/>
  <c r="G57" i="20"/>
  <c r="G58" i="20"/>
  <c r="G59" i="20"/>
  <c r="L59" i="20" s="1"/>
  <c r="G60" i="20"/>
  <c r="L60" i="20" s="1"/>
  <c r="G61" i="20"/>
  <c r="G62" i="20"/>
  <c r="G63" i="20"/>
  <c r="L63" i="20" s="1"/>
  <c r="G64" i="20"/>
  <c r="L64" i="20" s="1"/>
  <c r="G65" i="20"/>
  <c r="G66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L49" i="20"/>
  <c r="L50" i="20"/>
  <c r="L53" i="20"/>
  <c r="L54" i="20"/>
  <c r="L57" i="20"/>
  <c r="L58" i="20"/>
  <c r="L61" i="20"/>
  <c r="L62" i="20"/>
  <c r="L65" i="20"/>
  <c r="L66" i="20"/>
  <c r="K48" i="20"/>
  <c r="J48" i="20"/>
  <c r="I48" i="20"/>
  <c r="H48" i="20"/>
  <c r="G48" i="20"/>
  <c r="L48" i="20" s="1"/>
  <c r="K47" i="20"/>
  <c r="J47" i="20"/>
  <c r="I47" i="20"/>
  <c r="H47" i="20"/>
  <c r="G47" i="20"/>
  <c r="L47" i="20" s="1"/>
  <c r="K46" i="20"/>
  <c r="J46" i="20"/>
  <c r="I46" i="20"/>
  <c r="H46" i="20"/>
  <c r="G46" i="20"/>
  <c r="L46" i="20" s="1"/>
  <c r="K45" i="20"/>
  <c r="J45" i="20"/>
  <c r="I45" i="20"/>
  <c r="H45" i="20"/>
  <c r="G45" i="20"/>
  <c r="L45" i="20" s="1"/>
  <c r="K44" i="20"/>
  <c r="J44" i="20"/>
  <c r="I44" i="20"/>
  <c r="H44" i="20"/>
  <c r="G44" i="20"/>
  <c r="L44" i="20" s="1"/>
  <c r="K43" i="20"/>
  <c r="J43" i="20"/>
  <c r="I43" i="20"/>
  <c r="H43" i="20"/>
  <c r="G43" i="20"/>
  <c r="L43" i="20" s="1"/>
  <c r="K42" i="20"/>
  <c r="J42" i="20"/>
  <c r="I42" i="20"/>
  <c r="H42" i="20"/>
  <c r="G42" i="20"/>
  <c r="L42" i="20" s="1"/>
  <c r="K41" i="20"/>
  <c r="J41" i="20"/>
  <c r="I41" i="20"/>
  <c r="H41" i="20"/>
  <c r="G41" i="20"/>
  <c r="L41" i="20" s="1"/>
  <c r="K40" i="20"/>
  <c r="J40" i="20"/>
  <c r="I40" i="20"/>
  <c r="H40" i="20"/>
  <c r="G40" i="20"/>
  <c r="L40" i="20" s="1"/>
  <c r="K39" i="20"/>
  <c r="J39" i="20"/>
  <c r="I39" i="20"/>
  <c r="H39" i="20"/>
  <c r="G39" i="20"/>
  <c r="L39" i="20" s="1"/>
  <c r="K38" i="20"/>
  <c r="J38" i="20"/>
  <c r="I38" i="20"/>
  <c r="H38" i="20"/>
  <c r="G38" i="20"/>
  <c r="L38" i="20" s="1"/>
  <c r="K37" i="20"/>
  <c r="J37" i="20"/>
  <c r="I37" i="20"/>
  <c r="H37" i="20"/>
  <c r="G37" i="20"/>
  <c r="L37" i="20" s="1"/>
  <c r="K36" i="20"/>
  <c r="J36" i="20"/>
  <c r="I36" i="20"/>
  <c r="H36" i="20"/>
  <c r="G36" i="20"/>
  <c r="L36" i="20" s="1"/>
  <c r="K35" i="20"/>
  <c r="J35" i="20"/>
  <c r="I35" i="20"/>
  <c r="H35" i="20"/>
  <c r="G35" i="20"/>
  <c r="L35" i="20" s="1"/>
  <c r="K34" i="20"/>
  <c r="J34" i="20"/>
  <c r="I34" i="20"/>
  <c r="H34" i="20"/>
  <c r="G34" i="20"/>
  <c r="L34" i="20" s="1"/>
  <c r="K33" i="20"/>
  <c r="J33" i="20"/>
  <c r="I33" i="20"/>
  <c r="H33" i="20"/>
  <c r="G33" i="20"/>
  <c r="L33" i="20" s="1"/>
  <c r="K32" i="20"/>
  <c r="J32" i="20"/>
  <c r="I32" i="20"/>
  <c r="H32" i="20"/>
  <c r="G32" i="20"/>
  <c r="L32" i="20" s="1"/>
  <c r="K31" i="20"/>
  <c r="J31" i="20"/>
  <c r="I31" i="20"/>
  <c r="H31" i="20"/>
  <c r="G31" i="20"/>
  <c r="L31" i="20" s="1"/>
  <c r="K30" i="20"/>
  <c r="J30" i="20"/>
  <c r="I30" i="20"/>
  <c r="H30" i="20"/>
  <c r="G30" i="20"/>
  <c r="L30" i="20" s="1"/>
  <c r="K29" i="20"/>
  <c r="J29" i="20"/>
  <c r="I29" i="20"/>
  <c r="H29" i="20"/>
  <c r="G29" i="20"/>
  <c r="L29" i="20" s="1"/>
  <c r="K28" i="20"/>
  <c r="J28" i="20"/>
  <c r="I28" i="20"/>
  <c r="H28" i="20"/>
  <c r="G28" i="20"/>
  <c r="L28" i="20" s="1"/>
  <c r="K27" i="20"/>
  <c r="J27" i="20"/>
  <c r="I27" i="20"/>
  <c r="H27" i="20"/>
  <c r="G27" i="20"/>
  <c r="L27" i="20" s="1"/>
  <c r="K26" i="20"/>
  <c r="J26" i="20"/>
  <c r="I26" i="20"/>
  <c r="H26" i="20"/>
  <c r="G26" i="20"/>
  <c r="L26" i="20" s="1"/>
  <c r="K25" i="20"/>
  <c r="J25" i="20"/>
  <c r="I25" i="20"/>
  <c r="H25" i="20"/>
  <c r="G25" i="20"/>
  <c r="L25" i="20" s="1"/>
  <c r="K24" i="20"/>
  <c r="J24" i="20"/>
  <c r="I24" i="20"/>
  <c r="H24" i="20"/>
  <c r="G24" i="20"/>
  <c r="L24" i="20" s="1"/>
  <c r="K23" i="20"/>
  <c r="J23" i="20"/>
  <c r="I23" i="20"/>
  <c r="H23" i="20"/>
  <c r="G23" i="20"/>
  <c r="L23" i="20" s="1"/>
  <c r="K22" i="20"/>
  <c r="J22" i="20"/>
  <c r="I22" i="20"/>
  <c r="H22" i="20"/>
  <c r="G22" i="20"/>
  <c r="L22" i="20" s="1"/>
  <c r="K21" i="20"/>
  <c r="J21" i="20"/>
  <c r="I21" i="20"/>
  <c r="H21" i="20"/>
  <c r="G21" i="20"/>
  <c r="L21" i="20" s="1"/>
  <c r="K20" i="20"/>
  <c r="J20" i="20"/>
  <c r="I20" i="20"/>
  <c r="H20" i="20"/>
  <c r="G20" i="20"/>
  <c r="L20" i="20" s="1"/>
  <c r="K19" i="20"/>
  <c r="J19" i="20"/>
  <c r="I19" i="20"/>
  <c r="H19" i="20"/>
  <c r="G19" i="20"/>
  <c r="L19" i="20" s="1"/>
  <c r="K18" i="20"/>
  <c r="J18" i="20"/>
  <c r="I18" i="20"/>
  <c r="H18" i="20"/>
  <c r="G18" i="20"/>
  <c r="L18" i="20" s="1"/>
  <c r="K17" i="20"/>
  <c r="J17" i="20"/>
  <c r="I17" i="20"/>
  <c r="H17" i="20"/>
  <c r="G17" i="20"/>
  <c r="L17" i="20" s="1"/>
  <c r="K16" i="20"/>
  <c r="J16" i="20"/>
  <c r="I16" i="20"/>
  <c r="H16" i="20"/>
  <c r="G16" i="20"/>
  <c r="L16" i="20" s="1"/>
  <c r="K15" i="20"/>
  <c r="J15" i="20"/>
  <c r="I15" i="20"/>
  <c r="H15" i="20"/>
  <c r="G15" i="20"/>
  <c r="L15" i="20" s="1"/>
  <c r="K14" i="20"/>
  <c r="J14" i="20"/>
  <c r="I14" i="20"/>
  <c r="H14" i="20"/>
  <c r="G14" i="20"/>
  <c r="L14" i="20" s="1"/>
  <c r="K13" i="20"/>
  <c r="J13" i="20"/>
  <c r="I13" i="20"/>
  <c r="H13" i="20"/>
  <c r="G13" i="20"/>
  <c r="L13" i="20" s="1"/>
  <c r="K12" i="20"/>
  <c r="J12" i="20"/>
  <c r="I12" i="20"/>
  <c r="H12" i="20"/>
  <c r="G12" i="20"/>
  <c r="L12" i="20" s="1"/>
  <c r="K11" i="20"/>
  <c r="J11" i="20"/>
  <c r="I11" i="20"/>
  <c r="H11" i="20"/>
  <c r="G11" i="20"/>
  <c r="L11" i="20" s="1"/>
  <c r="K10" i="20"/>
  <c r="J10" i="20"/>
  <c r="I10" i="20"/>
  <c r="H10" i="20"/>
  <c r="G10" i="20"/>
  <c r="L10" i="20" s="1"/>
  <c r="K9" i="20"/>
  <c r="J9" i="20"/>
  <c r="I9" i="20"/>
  <c r="H9" i="20"/>
  <c r="G9" i="20"/>
  <c r="L9" i="20" s="1"/>
  <c r="K8" i="20"/>
  <c r="J8" i="20"/>
  <c r="I8" i="20"/>
  <c r="H8" i="20"/>
  <c r="G8" i="20"/>
  <c r="L8" i="20" s="1"/>
  <c r="K7" i="20"/>
  <c r="J7" i="20"/>
  <c r="I7" i="20"/>
  <c r="H7" i="20"/>
  <c r="G7" i="20"/>
  <c r="L7" i="20" s="1"/>
  <c r="K6" i="20"/>
  <c r="J6" i="20"/>
  <c r="I6" i="20"/>
  <c r="H6" i="20"/>
  <c r="G6" i="20"/>
  <c r="L6" i="20" s="1"/>
  <c r="K5" i="20"/>
  <c r="J5" i="20"/>
  <c r="I5" i="20"/>
  <c r="H5" i="20"/>
  <c r="G5" i="20"/>
  <c r="L5" i="20" s="1"/>
  <c r="H5" i="19"/>
  <c r="K48" i="19" l="1"/>
  <c r="J48" i="19"/>
  <c r="I48" i="19"/>
  <c r="H48" i="19"/>
  <c r="G48" i="19"/>
  <c r="L48" i="19" s="1"/>
  <c r="K47" i="19"/>
  <c r="J47" i="19"/>
  <c r="I47" i="19"/>
  <c r="H47" i="19"/>
  <c r="G47" i="19"/>
  <c r="L47" i="19" s="1"/>
  <c r="K46" i="19"/>
  <c r="J46" i="19"/>
  <c r="I46" i="19"/>
  <c r="H46" i="19"/>
  <c r="G46" i="19"/>
  <c r="L46" i="19" s="1"/>
  <c r="K45" i="19"/>
  <c r="J45" i="19"/>
  <c r="I45" i="19"/>
  <c r="H45" i="19"/>
  <c r="G45" i="19"/>
  <c r="L45" i="19" s="1"/>
  <c r="K44" i="19"/>
  <c r="J44" i="19"/>
  <c r="I44" i="19"/>
  <c r="H44" i="19"/>
  <c r="G44" i="19"/>
  <c r="L44" i="19" s="1"/>
  <c r="K43" i="19"/>
  <c r="J43" i="19"/>
  <c r="I43" i="19"/>
  <c r="H43" i="19"/>
  <c r="G43" i="19"/>
  <c r="L43" i="19" s="1"/>
  <c r="K42" i="19"/>
  <c r="J42" i="19"/>
  <c r="I42" i="19"/>
  <c r="H42" i="19"/>
  <c r="G42" i="19"/>
  <c r="L42" i="19" s="1"/>
  <c r="K41" i="19"/>
  <c r="J41" i="19"/>
  <c r="I41" i="19"/>
  <c r="H41" i="19"/>
  <c r="G41" i="19"/>
  <c r="L41" i="19" s="1"/>
  <c r="K40" i="19"/>
  <c r="J40" i="19"/>
  <c r="I40" i="19"/>
  <c r="H40" i="19"/>
  <c r="G40" i="19"/>
  <c r="L40" i="19" s="1"/>
  <c r="K39" i="19"/>
  <c r="J39" i="19"/>
  <c r="I39" i="19"/>
  <c r="H39" i="19"/>
  <c r="G39" i="19"/>
  <c r="L39" i="19" s="1"/>
  <c r="K38" i="19"/>
  <c r="J38" i="19"/>
  <c r="I38" i="19"/>
  <c r="H38" i="19"/>
  <c r="G38" i="19"/>
  <c r="L38" i="19" s="1"/>
  <c r="K37" i="19"/>
  <c r="J37" i="19"/>
  <c r="I37" i="19"/>
  <c r="H37" i="19"/>
  <c r="G37" i="19"/>
  <c r="L37" i="19" s="1"/>
  <c r="K36" i="19"/>
  <c r="J36" i="19"/>
  <c r="I36" i="19"/>
  <c r="H36" i="19"/>
  <c r="G36" i="19"/>
  <c r="L36" i="19" s="1"/>
  <c r="K35" i="19"/>
  <c r="J35" i="19"/>
  <c r="I35" i="19"/>
  <c r="H35" i="19"/>
  <c r="G35" i="19"/>
  <c r="L35" i="19" s="1"/>
  <c r="K34" i="19"/>
  <c r="J34" i="19"/>
  <c r="I34" i="19"/>
  <c r="H34" i="19"/>
  <c r="G34" i="19"/>
  <c r="L34" i="19" s="1"/>
  <c r="K33" i="19"/>
  <c r="J33" i="19"/>
  <c r="I33" i="19"/>
  <c r="H33" i="19"/>
  <c r="G33" i="19"/>
  <c r="L33" i="19" s="1"/>
  <c r="K32" i="19"/>
  <c r="J32" i="19"/>
  <c r="I32" i="19"/>
  <c r="H32" i="19"/>
  <c r="G32" i="19"/>
  <c r="L32" i="19" s="1"/>
  <c r="K31" i="19"/>
  <c r="J31" i="19"/>
  <c r="I31" i="19"/>
  <c r="H31" i="19"/>
  <c r="G31" i="19"/>
  <c r="L31" i="19" s="1"/>
  <c r="K30" i="19"/>
  <c r="J30" i="19"/>
  <c r="I30" i="19"/>
  <c r="H30" i="19"/>
  <c r="G30" i="19"/>
  <c r="L30" i="19" s="1"/>
  <c r="K29" i="19"/>
  <c r="J29" i="19"/>
  <c r="I29" i="19"/>
  <c r="H29" i="19"/>
  <c r="G29" i="19"/>
  <c r="L29" i="19" s="1"/>
  <c r="K28" i="19"/>
  <c r="J28" i="19"/>
  <c r="I28" i="19"/>
  <c r="H28" i="19"/>
  <c r="G28" i="19"/>
  <c r="L28" i="19" s="1"/>
  <c r="K27" i="19"/>
  <c r="J27" i="19"/>
  <c r="I27" i="19"/>
  <c r="H27" i="19"/>
  <c r="G27" i="19"/>
  <c r="L27" i="19" s="1"/>
  <c r="K26" i="19"/>
  <c r="J26" i="19"/>
  <c r="I26" i="19"/>
  <c r="H26" i="19"/>
  <c r="G26" i="19"/>
  <c r="L26" i="19" s="1"/>
  <c r="K25" i="19"/>
  <c r="J25" i="19"/>
  <c r="I25" i="19"/>
  <c r="H25" i="19"/>
  <c r="G25" i="19"/>
  <c r="L25" i="19" s="1"/>
  <c r="K24" i="19"/>
  <c r="J24" i="19"/>
  <c r="I24" i="19"/>
  <c r="H24" i="19"/>
  <c r="G24" i="19"/>
  <c r="L24" i="19" s="1"/>
  <c r="K23" i="19"/>
  <c r="J23" i="19"/>
  <c r="I23" i="19"/>
  <c r="H23" i="19"/>
  <c r="G23" i="19"/>
  <c r="L23" i="19" s="1"/>
  <c r="K22" i="19"/>
  <c r="J22" i="19"/>
  <c r="I22" i="19"/>
  <c r="H22" i="19"/>
  <c r="G22" i="19"/>
  <c r="L22" i="19" s="1"/>
  <c r="K21" i="19"/>
  <c r="J21" i="19"/>
  <c r="I21" i="19"/>
  <c r="H21" i="19"/>
  <c r="G21" i="19"/>
  <c r="L21" i="19" s="1"/>
  <c r="K20" i="19"/>
  <c r="J20" i="19"/>
  <c r="I20" i="19"/>
  <c r="H20" i="19"/>
  <c r="G20" i="19"/>
  <c r="L20" i="19" s="1"/>
  <c r="K19" i="19"/>
  <c r="J19" i="19"/>
  <c r="I19" i="19"/>
  <c r="H19" i="19"/>
  <c r="G19" i="19"/>
  <c r="L19" i="19" s="1"/>
  <c r="K18" i="19"/>
  <c r="J18" i="19"/>
  <c r="I18" i="19"/>
  <c r="H18" i="19"/>
  <c r="G18" i="19"/>
  <c r="L18" i="19" s="1"/>
  <c r="K17" i="19"/>
  <c r="J17" i="19"/>
  <c r="I17" i="19"/>
  <c r="H17" i="19"/>
  <c r="G17" i="19"/>
  <c r="L17" i="19" s="1"/>
  <c r="K16" i="19"/>
  <c r="J16" i="19"/>
  <c r="I16" i="19"/>
  <c r="H16" i="19"/>
  <c r="G16" i="19"/>
  <c r="L16" i="19" s="1"/>
  <c r="K15" i="19"/>
  <c r="J15" i="19"/>
  <c r="I15" i="19"/>
  <c r="H15" i="19"/>
  <c r="G15" i="19"/>
  <c r="L15" i="19" s="1"/>
  <c r="K14" i="19"/>
  <c r="J14" i="19"/>
  <c r="I14" i="19"/>
  <c r="H14" i="19"/>
  <c r="G14" i="19"/>
  <c r="L14" i="19" s="1"/>
  <c r="K13" i="19"/>
  <c r="J13" i="19"/>
  <c r="I13" i="19"/>
  <c r="H13" i="19"/>
  <c r="G13" i="19"/>
  <c r="L13" i="19" s="1"/>
  <c r="K12" i="19"/>
  <c r="J12" i="19"/>
  <c r="I12" i="19"/>
  <c r="H12" i="19"/>
  <c r="G12" i="19"/>
  <c r="L12" i="19" s="1"/>
  <c r="K11" i="19"/>
  <c r="J11" i="19"/>
  <c r="I11" i="19"/>
  <c r="H11" i="19"/>
  <c r="G11" i="19"/>
  <c r="L11" i="19" s="1"/>
  <c r="K10" i="19"/>
  <c r="J10" i="19"/>
  <c r="I10" i="19"/>
  <c r="H10" i="19"/>
  <c r="G10" i="19"/>
  <c r="L10" i="19" s="1"/>
  <c r="K9" i="19"/>
  <c r="J9" i="19"/>
  <c r="I9" i="19"/>
  <c r="H9" i="19"/>
  <c r="G9" i="19"/>
  <c r="L9" i="19" s="1"/>
  <c r="K8" i="19"/>
  <c r="J8" i="19"/>
  <c r="I8" i="19"/>
  <c r="H8" i="19"/>
  <c r="G8" i="19"/>
  <c r="L8" i="19" s="1"/>
  <c r="K7" i="19"/>
  <c r="J7" i="19"/>
  <c r="I7" i="19"/>
  <c r="H7" i="19"/>
  <c r="G7" i="19"/>
  <c r="L7" i="19" s="1"/>
  <c r="K6" i="19"/>
  <c r="J6" i="19"/>
  <c r="I6" i="19"/>
  <c r="H6" i="19"/>
  <c r="G6" i="19"/>
  <c r="L6" i="19" s="1"/>
  <c r="K5" i="19"/>
  <c r="J5" i="19"/>
  <c r="I5" i="19"/>
  <c r="G5" i="19"/>
  <c r="L5" i="19" s="1"/>
  <c r="G5" i="6" l="1"/>
  <c r="K6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J5" i="6" l="1"/>
  <c r="I5" i="6"/>
  <c r="L5" i="6"/>
  <c r="H5" i="6"/>
  <c r="K7" i="6"/>
  <c r="K5" i="6"/>
  <c r="G10" i="6" l="1"/>
  <c r="L10" i="6" s="1"/>
  <c r="G11" i="6"/>
  <c r="L11" i="6" s="1"/>
  <c r="G12" i="6"/>
  <c r="L12" i="6" s="1"/>
  <c r="G13" i="6"/>
  <c r="L13" i="6" s="1"/>
  <c r="G14" i="6"/>
  <c r="L14" i="6" s="1"/>
  <c r="G15" i="6"/>
  <c r="L15" i="6" s="1"/>
  <c r="G16" i="6"/>
  <c r="L16" i="6" s="1"/>
  <c r="G17" i="6"/>
  <c r="L17" i="6" s="1"/>
  <c r="G18" i="6"/>
  <c r="L18" i="6" s="1"/>
  <c r="G19" i="6"/>
  <c r="L19" i="6" s="1"/>
  <c r="G20" i="6"/>
  <c r="L20" i="6" s="1"/>
  <c r="G21" i="6"/>
  <c r="L21" i="6" s="1"/>
  <c r="G22" i="6"/>
  <c r="L22" i="6" s="1"/>
  <c r="G23" i="6"/>
  <c r="L23" i="6" s="1"/>
  <c r="G24" i="6"/>
  <c r="L24" i="6" s="1"/>
  <c r="G25" i="6"/>
  <c r="L25" i="6" s="1"/>
  <c r="G26" i="6"/>
  <c r="L26" i="6" s="1"/>
  <c r="G27" i="6"/>
  <c r="L27" i="6" s="1"/>
  <c r="G28" i="6"/>
  <c r="L28" i="6" s="1"/>
  <c r="G29" i="6"/>
  <c r="L29" i="6" s="1"/>
  <c r="G30" i="6"/>
  <c r="L30" i="6" s="1"/>
  <c r="G31" i="6"/>
  <c r="L31" i="6" s="1"/>
  <c r="G32" i="6"/>
  <c r="L32" i="6" s="1"/>
  <c r="G33" i="6"/>
  <c r="L33" i="6" s="1"/>
  <c r="G34" i="6"/>
  <c r="L34" i="6" s="1"/>
  <c r="G35" i="6"/>
  <c r="L35" i="6" s="1"/>
  <c r="G36" i="6"/>
  <c r="L36" i="6" s="1"/>
  <c r="G37" i="6"/>
  <c r="L37" i="6" s="1"/>
  <c r="G38" i="6"/>
  <c r="L38" i="6" s="1"/>
  <c r="G39" i="6"/>
  <c r="L39" i="6" s="1"/>
  <c r="G40" i="6"/>
  <c r="L40" i="6" s="1"/>
  <c r="G41" i="6"/>
  <c r="L41" i="6" s="1"/>
  <c r="G42" i="6"/>
  <c r="L42" i="6" s="1"/>
  <c r="G43" i="6"/>
  <c r="L43" i="6" s="1"/>
  <c r="G44" i="6"/>
  <c r="L44" i="6" s="1"/>
  <c r="G45" i="6"/>
  <c r="L45" i="6" s="1"/>
  <c r="G46" i="6"/>
  <c r="L46" i="6" s="1"/>
  <c r="G47" i="6"/>
  <c r="L47" i="6" s="1"/>
  <c r="G48" i="6"/>
  <c r="L48" i="6" s="1"/>
  <c r="G49" i="6"/>
  <c r="L49" i="6" s="1"/>
  <c r="G50" i="6"/>
  <c r="L50" i="6" s="1"/>
  <c r="G51" i="6"/>
  <c r="L51" i="6" s="1"/>
  <c r="G52" i="6"/>
  <c r="L52" i="6" s="1"/>
  <c r="G53" i="6"/>
  <c r="L53" i="6" s="1"/>
  <c r="G54" i="6"/>
  <c r="L54" i="6" s="1"/>
  <c r="G55" i="6"/>
  <c r="L55" i="6" s="1"/>
  <c r="G56" i="6"/>
  <c r="L56" i="6" s="1"/>
  <c r="G57" i="6"/>
  <c r="L57" i="6" s="1"/>
  <c r="G58" i="6"/>
  <c r="L58" i="6" s="1"/>
  <c r="G59" i="6"/>
  <c r="L59" i="6" s="1"/>
  <c r="G60" i="6"/>
  <c r="L60" i="6" s="1"/>
  <c r="G61" i="6"/>
  <c r="L61" i="6" s="1"/>
  <c r="G62" i="6"/>
  <c r="L62" i="6" s="1"/>
  <c r="G63" i="6"/>
  <c r="L63" i="6" s="1"/>
  <c r="G64" i="6"/>
  <c r="L64" i="6" s="1"/>
  <c r="G65" i="6"/>
  <c r="L65" i="6" s="1"/>
  <c r="G66" i="6"/>
  <c r="L66" i="6" s="1"/>
  <c r="G67" i="6"/>
  <c r="L67" i="6" s="1"/>
  <c r="G68" i="6"/>
  <c r="L68" i="6" s="1"/>
  <c r="G69" i="6"/>
  <c r="L69" i="6" s="1"/>
  <c r="G7" i="6"/>
  <c r="L7" i="6" s="1"/>
  <c r="G8" i="6"/>
  <c r="L8" i="6" s="1"/>
  <c r="G9" i="6"/>
  <c r="L9" i="6" s="1"/>
  <c r="G6" i="6" l="1"/>
  <c r="L6" i="6" s="1"/>
</calcChain>
</file>

<file path=xl/sharedStrings.xml><?xml version="1.0" encoding="utf-8"?>
<sst xmlns="http://schemas.openxmlformats.org/spreadsheetml/2006/main" count="693" uniqueCount="413">
  <si>
    <t>م</t>
  </si>
  <si>
    <t>الأسم</t>
  </si>
  <si>
    <t>طقس</t>
  </si>
  <si>
    <t>قبطي</t>
  </si>
  <si>
    <t>أجبيه</t>
  </si>
  <si>
    <t>جونستا ايمن كمال</t>
  </si>
  <si>
    <t>مايفن عماد ابراهيم</t>
  </si>
  <si>
    <t>فصل  حضانة</t>
  </si>
  <si>
    <t>ماثيو رضا كامل</t>
  </si>
  <si>
    <t>فلتاؤس مايكل غطاس</t>
  </si>
  <si>
    <t>مايفن ميلاد نظيف</t>
  </si>
  <si>
    <t>كاراس مينا يوسف</t>
  </si>
  <si>
    <t>بتول بولس مرقس</t>
  </si>
  <si>
    <t>ابرام باسم عادل</t>
  </si>
  <si>
    <t>بولا باسم عادل</t>
  </si>
  <si>
    <t>فؤاد مؤمن فؤاد</t>
  </si>
  <si>
    <t>جويس عادل حكيم</t>
  </si>
  <si>
    <t>فيلومينا ميلاد يونان</t>
  </si>
  <si>
    <t>حنا ماهر بشارة</t>
  </si>
  <si>
    <t>شنودة ميخائيل زكريا</t>
  </si>
  <si>
    <t>بتول لطيف حكيم</t>
  </si>
  <si>
    <t>برتا مؤمن سمير</t>
  </si>
  <si>
    <t>بولا كيرلس وهيب</t>
  </si>
  <si>
    <t>ايفان عماد جرجس</t>
  </si>
  <si>
    <t>فيرينا أسامة</t>
  </si>
  <si>
    <t>روفانيو كيرلس راغب</t>
  </si>
  <si>
    <t>نادر بهجت نجيب</t>
  </si>
  <si>
    <t>ميخائيل عيد منير</t>
  </si>
  <si>
    <t>مريم عيد منير</t>
  </si>
  <si>
    <t>مينا حنا مدحت</t>
  </si>
  <si>
    <t>فلتاؤس محسن ماهر</t>
  </si>
  <si>
    <t>جويس عماد عنتر</t>
  </si>
  <si>
    <t>جونير عماد عنتر</t>
  </si>
  <si>
    <t>كيرلس مكاريوس ميلاد</t>
  </si>
  <si>
    <t>روفينا عزت رشاد</t>
  </si>
  <si>
    <t>دميانة لطيف حكيم</t>
  </si>
  <si>
    <t>سيلينا ميخائيل محروس</t>
  </si>
  <si>
    <t>كاراس فؤاد فواز</t>
  </si>
  <si>
    <t>دانيلا يوسف جميل</t>
  </si>
  <si>
    <t>كارن حبيب عادل</t>
  </si>
  <si>
    <t>جيروم جرجس رأفت</t>
  </si>
  <si>
    <t>مريم ماهر ندها</t>
  </si>
  <si>
    <t>بولا بولس مرقس</t>
  </si>
  <si>
    <t>جولينا سعيد حكيم</t>
  </si>
  <si>
    <t>كاراس سامح بطرس</t>
  </si>
  <si>
    <t>بيتر رضا بولس</t>
  </si>
  <si>
    <t>لافينا ابراهيم جرجس</t>
  </si>
  <si>
    <t>عماد برسوم حشمت</t>
  </si>
  <si>
    <t>كيرلس ميخائيل زكريا</t>
  </si>
  <si>
    <t>ثيؤدورا عماد جرجس</t>
  </si>
  <si>
    <t>كاراس مدحت عابد</t>
  </si>
  <si>
    <t>بولا وليد راتب</t>
  </si>
  <si>
    <t>كاراس فضل راغب</t>
  </si>
  <si>
    <t>كيرلس سامح خلف</t>
  </si>
  <si>
    <t>مايكل ايمن كمال</t>
  </si>
  <si>
    <t>كارن بولس مرقس</t>
  </si>
  <si>
    <t>سوريال سعيد حكيم</t>
  </si>
  <si>
    <t>فيلوباتير رأفت فتيح</t>
  </si>
  <si>
    <t>فيرينا سامح بطرس</t>
  </si>
  <si>
    <t>يوسف ياسر مكرم</t>
  </si>
  <si>
    <t>يوسام ياسر مكرم</t>
  </si>
  <si>
    <t>فيلومينا صلاح منير</t>
  </si>
  <si>
    <t>كلارا مينا نان</t>
  </si>
  <si>
    <t>بولا مؤمن سمير</t>
  </si>
  <si>
    <t>هيلانة ثابت خليل</t>
  </si>
  <si>
    <t>كاراس أسامة</t>
  </si>
  <si>
    <t>جويس وليد عادل</t>
  </si>
  <si>
    <t>مريم صابر تواب</t>
  </si>
  <si>
    <t>رويس رزق الله سليمان</t>
  </si>
  <si>
    <t>مينا جرجس عوض</t>
  </si>
  <si>
    <t>مريم مدحت عابد</t>
  </si>
  <si>
    <t>يسطس الأمير جرجس</t>
  </si>
  <si>
    <t>كيرلس ايمن كمال</t>
  </si>
  <si>
    <t>مارتينا اميل جميل</t>
  </si>
  <si>
    <t>يوسف نبيل فيصل</t>
  </si>
  <si>
    <t>كاراس كيرلس فريد</t>
  </si>
  <si>
    <t>دميانة موريس نصيف</t>
  </si>
  <si>
    <t>توماس فضل راغب</t>
  </si>
  <si>
    <t>مهرائيل مدحت عابد</t>
  </si>
  <si>
    <t>كاراس حنا نان</t>
  </si>
  <si>
    <t>كاراس عماد صفوت</t>
  </si>
  <si>
    <t>ساندرا ميلاد نظيف</t>
  </si>
  <si>
    <t>يوسف محب عوض</t>
  </si>
  <si>
    <t>شنودة القس زكريا</t>
  </si>
  <si>
    <t>بولس رضا بولس</t>
  </si>
  <si>
    <t>ميرولا صلاح منير</t>
  </si>
  <si>
    <t>مريم نبيل فيصل</t>
  </si>
  <si>
    <t>مهرائيل ماهر بشارة</t>
  </si>
  <si>
    <t>كيرلس مينا نان</t>
  </si>
  <si>
    <t>جونير الأمير جرجس</t>
  </si>
  <si>
    <t>مارينا اميل جميل</t>
  </si>
  <si>
    <t>مهرائيل سمير اسحق</t>
  </si>
  <si>
    <t>مريم عادل حكيم</t>
  </si>
  <si>
    <t>مرثا ضيف الله</t>
  </si>
  <si>
    <t>ميرا حنا مدحت</t>
  </si>
  <si>
    <t>مارينا بخيت عبدالله</t>
  </si>
  <si>
    <t>نبيل عماد فؤاد</t>
  </si>
  <si>
    <t>اغابى القس بولا</t>
  </si>
  <si>
    <t>افرام عماد جرجس</t>
  </si>
  <si>
    <t>ايفان امير فوزى</t>
  </si>
  <si>
    <t>ايلاريون ابانوب ابراهيم</t>
  </si>
  <si>
    <t>ايمان هانى</t>
  </si>
  <si>
    <t>بارثى إبرام جرجس</t>
  </si>
  <si>
    <t>بارثى رزق الله سليمان</t>
  </si>
  <si>
    <t>بارثينوس وائل ناصح</t>
  </si>
  <si>
    <t>بترنيوس ميخائيل عطية</t>
  </si>
  <si>
    <t>بتول عماد عنتر</t>
  </si>
  <si>
    <t>بتول ممدوح بشير</t>
  </si>
  <si>
    <t>بموا وائل ناصح</t>
  </si>
  <si>
    <t>بولا ايمن شمعون</t>
  </si>
  <si>
    <t>بولا ياسر نصحى</t>
  </si>
  <si>
    <t>بيانكا بيتر اديب</t>
  </si>
  <si>
    <t>توماس كرم</t>
  </si>
  <si>
    <t>توماس مينا انور</t>
  </si>
  <si>
    <t>جاستن وليد راتب</t>
  </si>
  <si>
    <t>جون مينا يوسف</t>
  </si>
  <si>
    <t>جوناثان دانيال كرم</t>
  </si>
  <si>
    <t>جونير عاطف نادى</t>
  </si>
  <si>
    <t>جوى يوسف جميل</t>
  </si>
  <si>
    <t>رافائيل مينا فايق</t>
  </si>
  <si>
    <t>روفينا رومانى</t>
  </si>
  <si>
    <t>رونى رشدى</t>
  </si>
  <si>
    <t>فلتاؤس شحاته شوقى</t>
  </si>
  <si>
    <t>فلتاؤس مكاريوس</t>
  </si>
  <si>
    <t>كاندل امير فوزى</t>
  </si>
  <si>
    <t>كرمة مينا فايق</t>
  </si>
  <si>
    <t>كيرلس رافت لحظى</t>
  </si>
  <si>
    <t>كيرلس رومانى نصحى</t>
  </si>
  <si>
    <t>كيرلس صابر كامل</t>
  </si>
  <si>
    <t>كيرلس عبد المسيح عطية</t>
  </si>
  <si>
    <t>مارك انطونيوس جرجس</t>
  </si>
  <si>
    <t>مارلى هانى عابد</t>
  </si>
  <si>
    <t>مايفل رومانى قديس</t>
  </si>
  <si>
    <t>مريم رضا كامل</t>
  </si>
  <si>
    <t>مريم فرحات عادل</t>
  </si>
  <si>
    <t>مكسيموس ايهاب بشرى</t>
  </si>
  <si>
    <t>مكسيموس ريمون غطاس</t>
  </si>
  <si>
    <t>ميراى مينا عزت</t>
  </si>
  <si>
    <t>ميركل رومانى فتحى</t>
  </si>
  <si>
    <t>ميرولا باسم عيسى</t>
  </si>
  <si>
    <t>نوفير رامى معوض</t>
  </si>
  <si>
    <t>يؤانس حنا شحاته</t>
  </si>
  <si>
    <t>يوسف ريمون ماهر</t>
  </si>
  <si>
    <t>بترونيوس مايكل رؤوف</t>
  </si>
  <si>
    <t>توماس جرجس</t>
  </si>
  <si>
    <t>مارفن روماني</t>
  </si>
  <si>
    <t>ماروسكا روماني</t>
  </si>
  <si>
    <t>ابرام عماد</t>
  </si>
  <si>
    <t>ميرال مينا</t>
  </si>
  <si>
    <t>بولا ميلاد</t>
  </si>
  <si>
    <t>اوليفيا روماني</t>
  </si>
  <si>
    <t>امير جرجس عياد</t>
  </si>
  <si>
    <t>اندرو وجيه اسحق</t>
  </si>
  <si>
    <t>بريسيكلا باسم عادل</t>
  </si>
  <si>
    <t>بولا ثروت زكريا</t>
  </si>
  <si>
    <t>ثيؤدورا مدحت نجدى</t>
  </si>
  <si>
    <t>جانيل عزيز</t>
  </si>
  <si>
    <t>جوستينا الأمير جرجس</t>
  </si>
  <si>
    <t>جوفانى نبيل ثابت</t>
  </si>
  <si>
    <t>جويس كامل</t>
  </si>
  <si>
    <t>ستيفن سمير سامى</t>
  </si>
  <si>
    <t>سيدراك ميلاد يونان</t>
  </si>
  <si>
    <t>شنودة مجدى عزيز</t>
  </si>
  <si>
    <t>فيلوباتير مينا موريس</t>
  </si>
  <si>
    <t>كاراس ميلاد عبد الملاك</t>
  </si>
  <si>
    <t>كارن هانى صدقى</t>
  </si>
  <si>
    <t>كيرلس عماد عطية</t>
  </si>
  <si>
    <t>كيرلس هانى ابراهيم</t>
  </si>
  <si>
    <t>كيفين بيشوى عادل</t>
  </si>
  <si>
    <t>ماثيو ملاك عيسى</t>
  </si>
  <si>
    <t>مينا اشرف ميلاد</t>
  </si>
  <si>
    <t>مينا تامر مكرم</t>
  </si>
  <si>
    <t>ميناس ابانوب فايز</t>
  </si>
  <si>
    <t>يوسف بيشوى يوسف</t>
  </si>
  <si>
    <t>ابانوب دانيال كرم</t>
  </si>
  <si>
    <t>ابانوب عماد صدقى</t>
  </si>
  <si>
    <t>اندريا مينا فايق</t>
  </si>
  <si>
    <t>بارثنيا راشد بشرى</t>
  </si>
  <si>
    <t>بارثنيا سمير</t>
  </si>
  <si>
    <t>بريتى مجدى عادل</t>
  </si>
  <si>
    <t>توماس مينا صبرى</t>
  </si>
  <si>
    <t>جرجس ميشيل جرجس</t>
  </si>
  <si>
    <t>جيسيكا سامح رومانى</t>
  </si>
  <si>
    <t>راوى بيتر راوى</t>
  </si>
  <si>
    <t>سامح مينا رومانى</t>
  </si>
  <si>
    <t>شنودة فرج قابيل</t>
  </si>
  <si>
    <t>شنودة نادى ويصا</t>
  </si>
  <si>
    <t>فيلوباتير ابانوب عبد المسيح</t>
  </si>
  <si>
    <t>فيلوباتير يعقوب خيرى</t>
  </si>
  <si>
    <t>كاراس سامى</t>
  </si>
  <si>
    <t>كاراس مختار نصار</t>
  </si>
  <si>
    <t>كيرلس فرحات عادل</t>
  </si>
  <si>
    <t>كيفين دانيال فتح الله</t>
  </si>
  <si>
    <t>ماثيو ميلاد غطاس</t>
  </si>
  <si>
    <t>مارفى ريمون غطاس</t>
  </si>
  <si>
    <t>مارك صلاح جاد</t>
  </si>
  <si>
    <t>مايفن ايمن شمعون</t>
  </si>
  <si>
    <t>مريم جرس بشاى</t>
  </si>
  <si>
    <t>نوفير بولس عبد المسيح</t>
  </si>
  <si>
    <t>يوسف مينا انور</t>
  </si>
  <si>
    <t>انسطاسيا مجدى بخيت</t>
  </si>
  <si>
    <t>ايرينى حنا نان</t>
  </si>
  <si>
    <t>إبرام مينا صبرى</t>
  </si>
  <si>
    <t>بافلى امجد جورج</t>
  </si>
  <si>
    <t>بافلى مؤمن سمير</t>
  </si>
  <si>
    <t>بولا صفوت بولس</t>
  </si>
  <si>
    <t>بيشوى مدحت فتحى</t>
  </si>
  <si>
    <t>توماس باسم فتحى</t>
  </si>
  <si>
    <t>جوسى مينا يوسف</t>
  </si>
  <si>
    <t>فادى رأفت فتيح</t>
  </si>
  <si>
    <t>فيرونيكا بيشوى يوسف</t>
  </si>
  <si>
    <t>كاراس عوض ابراهيم</t>
  </si>
  <si>
    <t>كاراس فايق سعد</t>
  </si>
  <si>
    <t>كاراس يوسف</t>
  </si>
  <si>
    <t>كيرلس مجدى عزيز</t>
  </si>
  <si>
    <t>كيفين صبرى بولس</t>
  </si>
  <si>
    <t>لافينا مكاريوس ابراهيم</t>
  </si>
  <si>
    <t>لوسيندا برسوم حشمت</t>
  </si>
  <si>
    <t>ماجى ليشع</t>
  </si>
  <si>
    <t>مارسيلينو رومانى يوسف</t>
  </si>
  <si>
    <t>مارك ميلاد عيسى</t>
  </si>
  <si>
    <t>ماروسكا مجدى صادق</t>
  </si>
  <si>
    <t>مريم بولس عبد المسيح</t>
  </si>
  <si>
    <t>مريم ريمون ماهر</t>
  </si>
  <si>
    <t>مريم هانى يوسف</t>
  </si>
  <si>
    <t>مكارى اشرف شوقى</t>
  </si>
  <si>
    <t>مهرائيل نبيل وجدى</t>
  </si>
  <si>
    <t>مينا عزت طلعت</t>
  </si>
  <si>
    <t>مينا هانى عابد</t>
  </si>
  <si>
    <t>نصار ممتاز نصار</t>
  </si>
  <si>
    <t>نوفير رومانى مجدى</t>
  </si>
  <si>
    <t>يسى عماد عطا</t>
  </si>
  <si>
    <t>يوسف ايهاب فايق</t>
  </si>
  <si>
    <t>يوسف بهجت نجيب</t>
  </si>
  <si>
    <t>يؤانا حنا شحاته</t>
  </si>
  <si>
    <t>ابانوب يعقوب خيرى</t>
  </si>
  <si>
    <t>ابراكيوس هانى صالح</t>
  </si>
  <si>
    <t>ايرينى برسوم حشمت</t>
  </si>
  <si>
    <t>ايميلين اميل سمير</t>
  </si>
  <si>
    <t>إبرام ميلاد جرجس</t>
  </si>
  <si>
    <t>توماس مدحت فتحى</t>
  </si>
  <si>
    <t>جوفانى ميمى</t>
  </si>
  <si>
    <t>جوليا ابانوب عبد المسيح</t>
  </si>
  <si>
    <t>جوناثان ايمن</t>
  </si>
  <si>
    <t>شنودة اسعد فايز</t>
  </si>
  <si>
    <t>كاراس رومانى نصحى</t>
  </si>
  <si>
    <t>كاراس ينى سلامه</t>
  </si>
  <si>
    <t>كيرلس ابراهيم جاد</t>
  </si>
  <si>
    <t>كيرمينا سامح ابراهيم</t>
  </si>
  <si>
    <t>لافانيا يوسف وليم</t>
  </si>
  <si>
    <t>مارلى محسن ماهر</t>
  </si>
  <si>
    <t>مايفن رومانى فتحى</t>
  </si>
  <si>
    <t>مريم عادل</t>
  </si>
  <si>
    <t>مريم فرج قابيل</t>
  </si>
  <si>
    <t>منذر صلاح جاد</t>
  </si>
  <si>
    <t>مهرائيل شنودة نصحى</t>
  </si>
  <si>
    <t>يوسف ملاك عيسى</t>
  </si>
  <si>
    <t>ابانوب جورج يوسف</t>
  </si>
  <si>
    <t>ابانوب سامح عبده</t>
  </si>
  <si>
    <t>ابانوب شحاته شوقى</t>
  </si>
  <si>
    <t>ابراهيم عوض ابراهيم</t>
  </si>
  <si>
    <t>استيفن رأفت عجيب</t>
  </si>
  <si>
    <t>استيفن ناجح امير</t>
  </si>
  <si>
    <t>اندرو حلمى غندور</t>
  </si>
  <si>
    <t>انسطاسيا رامى معوض</t>
  </si>
  <si>
    <t>ايرينى ميلاد كامل</t>
  </si>
  <si>
    <t>بافلى ميلاد لمعى</t>
  </si>
  <si>
    <t>جرجس ممدوح بشير</t>
  </si>
  <si>
    <t>جيسيكا عماد عطية</t>
  </si>
  <si>
    <t>رومانى صابر رسمالله</t>
  </si>
  <si>
    <t>ساندى كامل</t>
  </si>
  <si>
    <t>شنودة هاتور عياد</t>
  </si>
  <si>
    <t>كاراس عبد الشهيد رشاد</t>
  </si>
  <si>
    <t>كاراس كمال فؤاد</t>
  </si>
  <si>
    <t>كاراس مايكل البدرى</t>
  </si>
  <si>
    <t>كاراس معزوز صبرى</t>
  </si>
  <si>
    <t>كاراس ميلاد ميلك</t>
  </si>
  <si>
    <t>كاراس وجيه امير</t>
  </si>
  <si>
    <t>كيرلس شحاته شوقى</t>
  </si>
  <si>
    <t>كيرلس ملاك عماد</t>
  </si>
  <si>
    <t>كيرمينا رزق كامل</t>
  </si>
  <si>
    <t>مريم سامح موسى</t>
  </si>
  <si>
    <t>مهند صلاح جاد</t>
  </si>
  <si>
    <t>ميرولا ايمن فائق</t>
  </si>
  <si>
    <t>ابانوب فيكتور ماهر</t>
  </si>
  <si>
    <t>ابانوب نادى ماهر</t>
  </si>
  <si>
    <t>ابانوب نزيه</t>
  </si>
  <si>
    <t>ابانوب هانى بخيت</t>
  </si>
  <si>
    <t>افرايم عماد عطية</t>
  </si>
  <si>
    <t>انطون ايهاب وليم</t>
  </si>
  <si>
    <t>انطون ناصر ايوب</t>
  </si>
  <si>
    <t>ايرينى كامل</t>
  </si>
  <si>
    <t>إبرام رومانى كمال</t>
  </si>
  <si>
    <t>بارثنيا باسم عادل</t>
  </si>
  <si>
    <t>بولا شريف ربيعى</t>
  </si>
  <si>
    <t>بيشوى زكريا ملك</t>
  </si>
  <si>
    <t>بيشوى مايكل ميلاد</t>
  </si>
  <si>
    <t>بيشوى ملاك عماد</t>
  </si>
  <si>
    <t>بيشوى ممتاز نصار</t>
  </si>
  <si>
    <t>بيشوى ميلاد نظيف</t>
  </si>
  <si>
    <t>بيشوى ناجح</t>
  </si>
  <si>
    <t>تكلا مدحت حسنى</t>
  </si>
  <si>
    <t>توماس غطاس غالى</t>
  </si>
  <si>
    <t>توماس هانى سعيد</t>
  </si>
  <si>
    <t>جورج زكريا حسنى</t>
  </si>
  <si>
    <t>جوزيف سامح رومانى</t>
  </si>
  <si>
    <t>جوستينا ميشيل جرجس</t>
  </si>
  <si>
    <t>جوليا ايمن</t>
  </si>
  <si>
    <t>جونير جميل فتحى</t>
  </si>
  <si>
    <t>جونير سامح رومانى</t>
  </si>
  <si>
    <t>جونيرا ابراهيم جاد</t>
  </si>
  <si>
    <t>جويس عزيز</t>
  </si>
  <si>
    <t>دميانة اشرف شوقى</t>
  </si>
  <si>
    <t>رامز بيشاى عبد الرافع</t>
  </si>
  <si>
    <t>ريموندا رومانى مجدى</t>
  </si>
  <si>
    <t>شنودة ابراهيم جرجس</t>
  </si>
  <si>
    <t>شنودة ايمن</t>
  </si>
  <si>
    <t>شنودة سامح موسى</t>
  </si>
  <si>
    <t>شنودة صموئيل جعيدى</t>
  </si>
  <si>
    <t>عبد المسيح شنودة</t>
  </si>
  <si>
    <t>فادى الفى صبرى</t>
  </si>
  <si>
    <t>فادى فايز فهمى</t>
  </si>
  <si>
    <t>فيرمونيكا ميمى</t>
  </si>
  <si>
    <t>فيرينا هانى بخيت</t>
  </si>
  <si>
    <t>كاراس اميل سمير</t>
  </si>
  <si>
    <t>كاراس جميل رمزى</t>
  </si>
  <si>
    <t>كاراس صبرى بولس</t>
  </si>
  <si>
    <t>كارلوس مايكل سعد</t>
  </si>
  <si>
    <t>كارن يوسف وليم</t>
  </si>
  <si>
    <t>كيرلس جميل فتحى</t>
  </si>
  <si>
    <t>كيرلس رامى جرجس</t>
  </si>
  <si>
    <t>كيرلس سامى يعقوب</t>
  </si>
  <si>
    <t>لوسيندا زايد جيد</t>
  </si>
  <si>
    <t>مارتينا أيزنهاور</t>
  </si>
  <si>
    <t>مارتينا مايكل ميلاد</t>
  </si>
  <si>
    <t>ماريا لطفى ثروت</t>
  </si>
  <si>
    <t>مارينا رأفت رومل</t>
  </si>
  <si>
    <t>مارينا فايق سعد</t>
  </si>
  <si>
    <t>مايرز أسامة عطية</t>
  </si>
  <si>
    <t>مايفل اسامة</t>
  </si>
  <si>
    <t>مايفن بيشوى جرجس</t>
  </si>
  <si>
    <t>مريم بهجت نجيب</t>
  </si>
  <si>
    <t>مريم هانى</t>
  </si>
  <si>
    <t>مفدى سعيد حنا</t>
  </si>
  <si>
    <t>مكسيموس مدحت مجدى</t>
  </si>
  <si>
    <t>مهرائيل جرجس معوض</t>
  </si>
  <si>
    <t>مهرائيل راضى اسحق</t>
  </si>
  <si>
    <t>مهرائيل رأفت رومل</t>
  </si>
  <si>
    <t>مهرائيل شحاتة شوقى</t>
  </si>
  <si>
    <t>ميرا ميلاد نظيف</t>
  </si>
  <si>
    <t>ميرولا فايز صابر</t>
  </si>
  <si>
    <t>نيرفانا نادى ويصا</t>
  </si>
  <si>
    <t>يسى عماد عطية</t>
  </si>
  <si>
    <t>يوسف ايمن سمير</t>
  </si>
  <si>
    <t>يوسف بيشوى بشرى</t>
  </si>
  <si>
    <t>يوسف عماد سعد</t>
  </si>
  <si>
    <t>بولا فوزي</t>
  </si>
  <si>
    <t xml:space="preserve">فيولا فادى </t>
  </si>
  <si>
    <t>ابانوب يوسف معوض</t>
  </si>
  <si>
    <t>ابتسام عادل فهمى</t>
  </si>
  <si>
    <t>تامر مكرم ابراهيم</t>
  </si>
  <si>
    <t>حنان ماهر رسمى</t>
  </si>
  <si>
    <t>سلوى يوسف</t>
  </si>
  <si>
    <t>عاطف صابر صليب</t>
  </si>
  <si>
    <t>عبد المسيح عطية</t>
  </si>
  <si>
    <t>كيرلس مرزق فرج الله</t>
  </si>
  <si>
    <t>مارى يسرى فاروق</t>
  </si>
  <si>
    <t>مارينا قدرى</t>
  </si>
  <si>
    <t>مارينا كميل</t>
  </si>
  <si>
    <t>مايكل محفوظ منصور</t>
  </si>
  <si>
    <t>مريم سمير بارح</t>
  </si>
  <si>
    <t>منار مجدى رياض</t>
  </si>
  <si>
    <t>مها عاطف</t>
  </si>
  <si>
    <t>مينا جرجس نصير</t>
  </si>
  <si>
    <t>نسمة سمير حبيب</t>
  </si>
  <si>
    <t>وليم امين خليل</t>
  </si>
  <si>
    <t>يسى سمير وليم</t>
  </si>
  <si>
    <t>سلوي رسمي</t>
  </si>
  <si>
    <t>الحان</t>
  </si>
  <si>
    <t>المجموع</t>
  </si>
  <si>
    <t>التقدير العام</t>
  </si>
  <si>
    <t>التقدير</t>
  </si>
  <si>
    <t xml:space="preserve"> الدرجة 10</t>
  </si>
  <si>
    <t>مينا اشرف فتحى</t>
  </si>
  <si>
    <t>مينا سامح خلف</t>
  </si>
  <si>
    <t>مينا يوسف جابر</t>
  </si>
  <si>
    <t>فيلوباتير امجد</t>
  </si>
  <si>
    <t>مارى ماجد بطرس</t>
  </si>
  <si>
    <t>كارن يوسف</t>
  </si>
  <si>
    <t>كرياكوس ميخائيل عطية</t>
  </si>
  <si>
    <t>كيرلس الرومانى نصيف</t>
  </si>
  <si>
    <t>كيرلس رزق الله سليمان</t>
  </si>
  <si>
    <t>جولسيا جميل</t>
  </si>
  <si>
    <t>كرستينا داود</t>
  </si>
  <si>
    <t xml:space="preserve"> الدرجة 100</t>
  </si>
  <si>
    <t xml:space="preserve">قبطى </t>
  </si>
  <si>
    <t xml:space="preserve">طقس </t>
  </si>
  <si>
    <t>اجبية</t>
  </si>
  <si>
    <t>قبطى</t>
  </si>
  <si>
    <t>تقديرات الترم الثاني ( 2025م - 2026م ) 1742ش</t>
  </si>
  <si>
    <t>ماري ماجد بطرس</t>
  </si>
  <si>
    <t>بتول نبيل يعقوب</t>
  </si>
  <si>
    <t>ميرنا كامل رشدي</t>
  </si>
  <si>
    <t>مريم سامح نان</t>
  </si>
  <si>
    <t>كلير وجدى ضيف</t>
  </si>
  <si>
    <t>جوليسيا جميل</t>
  </si>
  <si>
    <t>فصل حضانة</t>
  </si>
  <si>
    <t>فصل ثانية</t>
  </si>
  <si>
    <t>فصل خامسة</t>
  </si>
  <si>
    <t>فصل سادسة</t>
  </si>
  <si>
    <t>فصل رابعة</t>
  </si>
  <si>
    <t>فصل ثالثة</t>
  </si>
  <si>
    <t>فصل اولى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</si>
</sst>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sz val="18"/>
      <name val="Calibri"/>
      <family val="2"/>
    </font>
    <font>
      <sz val="20"/>
      <name val="Calibri"/>
      <family val="2"/>
    </font>
    <font>
      <sz val="14"/>
      <name val="Calibri"/>
      <family val="2"/>
    </font>
    <font>
      <sz val="18"/>
      <name val="Arial"/>
      <family val="2"/>
      <scheme val="minor"/>
    </font>
    <font>
      <sz val="20"/>
      <name val="Arial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name val="Calibri"/>
      <family val="2"/>
    </font>
    <font>
      <sz val="28"/>
      <name val="Arial"/>
      <family val="2"/>
      <scheme val="minor"/>
    </font>
    <font>
      <sz val="18"/>
      <color theme="1"/>
      <name val="Arial"/>
      <family val="2"/>
      <scheme val="minor"/>
    </font>
    <font>
      <sz val="24"/>
      <name val="Calibri"/>
      <family val="2"/>
    </font>
    <font>
      <sz val="24"/>
      <color theme="1"/>
      <name val="Arial"/>
      <family val="2"/>
      <scheme val="minor"/>
    </font>
    <font>
      <sz val="24"/>
      <name val="Arial"/>
      <family val="2"/>
      <scheme val="minor"/>
    </font>
    <font>
      <b/>
      <sz val="24"/>
      <name val="Calibri"/>
      <family val="2"/>
    </font>
    <font>
      <sz val="72"/>
      <name val="Arial"/>
      <family val="2"/>
      <scheme val="minor"/>
    </font>
    <font>
      <sz val="72"/>
      <color theme="1"/>
      <name val="Arial"/>
      <family val="2"/>
      <scheme val="minor"/>
    </font>
    <font>
      <sz val="7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3" borderId="19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14" fontId="8" fillId="0" borderId="17" xfId="0" applyNumberFormat="1" applyFont="1" applyFill="1" applyBorder="1" applyAlignment="1">
      <alignment horizontal="center" vertical="center"/>
    </xf>
    <xf numFmtId="14" fontId="8" fillId="3" borderId="19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/>
    <xf numFmtId="0" fontId="6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11" fillId="2" borderId="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17" fillId="3" borderId="2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14" fontId="17" fillId="0" borderId="7" xfId="0" applyNumberFormat="1" applyFont="1" applyFill="1" applyBorder="1" applyAlignment="1">
      <alignment horizontal="center" vertical="center"/>
    </xf>
    <xf numFmtId="14" fontId="17" fillId="3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rightToLeft="1" view="pageBreakPreview" zoomScale="60" zoomScaleNormal="90" workbookViewId="0">
      <selection activeCell="H5" sqref="H5"/>
    </sheetView>
  </sheetViews>
  <sheetFormatPr defaultColWidth="7.25" defaultRowHeight="23.25" x14ac:dyDescent="0.2"/>
  <cols>
    <col min="1" max="1" width="7" style="3" customWidth="1"/>
    <col min="2" max="2" width="42.5" style="1" customWidth="1"/>
    <col min="3" max="5" width="12.625" style="1" customWidth="1"/>
    <col min="6" max="6" width="10.375" style="1" customWidth="1"/>
    <col min="7" max="7" width="10.875" style="1" bestFit="1" customWidth="1"/>
    <col min="8" max="11" width="12.875" style="1" customWidth="1"/>
    <col min="12" max="12" width="24.5" style="1" bestFit="1" customWidth="1"/>
    <col min="13" max="16384" width="7.25" style="1"/>
  </cols>
  <sheetData>
    <row r="1" spans="1:14" ht="33.75" x14ac:dyDescent="0.2">
      <c r="A1" s="33" t="s">
        <v>399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4" ht="35.25" thickBot="1" x14ac:dyDescent="0.25">
      <c r="A2" s="33" t="s">
        <v>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28"/>
      <c r="N2" s="28"/>
    </row>
    <row r="3" spans="1:14" s="2" customFormat="1" ht="36.75" thickBot="1" x14ac:dyDescent="0.25">
      <c r="A3" s="34" t="s">
        <v>0</v>
      </c>
      <c r="B3" s="34" t="s">
        <v>1</v>
      </c>
      <c r="C3" s="12" t="s">
        <v>395</v>
      </c>
      <c r="D3" s="12" t="s">
        <v>396</v>
      </c>
      <c r="E3" s="12" t="s">
        <v>397</v>
      </c>
      <c r="F3" s="13" t="s">
        <v>378</v>
      </c>
      <c r="G3" s="38" t="s">
        <v>379</v>
      </c>
      <c r="H3" s="14" t="s">
        <v>398</v>
      </c>
      <c r="I3" s="12" t="s">
        <v>2</v>
      </c>
      <c r="J3" s="12" t="s">
        <v>397</v>
      </c>
      <c r="K3" s="12" t="s">
        <v>378</v>
      </c>
      <c r="L3" s="36" t="s">
        <v>380</v>
      </c>
      <c r="M3" s="28"/>
      <c r="N3" s="28"/>
    </row>
    <row r="4" spans="1:14" s="2" customFormat="1" ht="36.75" thickBot="1" x14ac:dyDescent="0.25">
      <c r="A4" s="35"/>
      <c r="B4" s="35"/>
      <c r="C4" s="12" t="s">
        <v>382</v>
      </c>
      <c r="D4" s="12" t="s">
        <v>382</v>
      </c>
      <c r="E4" s="12" t="s">
        <v>382</v>
      </c>
      <c r="F4" s="13" t="s">
        <v>382</v>
      </c>
      <c r="G4" s="39"/>
      <c r="H4" s="14" t="s">
        <v>381</v>
      </c>
      <c r="I4" s="12" t="s">
        <v>381</v>
      </c>
      <c r="J4" s="12" t="s">
        <v>381</v>
      </c>
      <c r="K4" s="12" t="s">
        <v>381</v>
      </c>
      <c r="L4" s="37"/>
      <c r="M4" s="28"/>
      <c r="N4" s="28"/>
    </row>
    <row r="5" spans="1:14" s="2" customFormat="1" ht="36" x14ac:dyDescent="0.2">
      <c r="A5" s="29">
        <v>1</v>
      </c>
      <c r="B5" s="15" t="s">
        <v>13</v>
      </c>
      <c r="C5" s="16">
        <v>4</v>
      </c>
      <c r="D5" s="16">
        <v>3</v>
      </c>
      <c r="E5" s="17">
        <v>10</v>
      </c>
      <c r="F5" s="18">
        <v>7</v>
      </c>
      <c r="G5" s="19">
        <f>SUM(C5:F5)</f>
        <v>24</v>
      </c>
      <c r="H5" s="20" t="str">
        <f>IF(G5&gt;=8.6,"ممتاز",IF(G5&gt;=8.5,"جيد جداً",IF(G5&gt;=7.5,"جيد",IF(G5&gt;=6.5,"مقبول","راسب"))))</f>
        <v>ممتاز</v>
      </c>
      <c r="I5" s="20" t="str">
        <f>IF(G5&gt;=8.6,"ممتاز",IF(G5&gt;=8.5,"جيد جداً",IF(G5&gt;=7.5,"جيد",IF(G5&gt;=6.5,"مقبول","راسب"))))</f>
        <v>ممتاز</v>
      </c>
      <c r="J5" s="20" t="str">
        <f>IF(G5&gt;=8.6,"ممتاز",IF(G5&gt;=8.5,"جيد جداً",IF(G5&gt;=7.5,"جيد",IF(G5&gt;=6.5,"مقبول","راسب"))))</f>
        <v>ممتاز</v>
      </c>
      <c r="K5" s="20" t="str">
        <f>IF(G5&gt;=90,"ممتاز",IF(G5&gt;=80,"جيد جداً",IF(G5&gt;=60,"جيد",IF(G5&gt;=50,"مقبول","راسب"))))</f>
        <v>راسب</v>
      </c>
      <c r="L5" s="21" t="str">
        <f>IF(G5&gt;=35,"ممتاز",IF(G5&gt;=30,"جيد جداً",IF(G5&gt;=26,"جيد",IF(G5&gt;=20,"مقبول","راسب"))))</f>
        <v>مقبول</v>
      </c>
      <c r="M5" s="28"/>
      <c r="N5" s="28"/>
    </row>
    <row r="6" spans="1:14" ht="36" x14ac:dyDescent="0.2">
      <c r="A6" s="30">
        <v>2</v>
      </c>
      <c r="B6" s="22" t="s">
        <v>97</v>
      </c>
      <c r="C6" s="23">
        <v>6</v>
      </c>
      <c r="D6" s="23">
        <v>10</v>
      </c>
      <c r="E6" s="23">
        <v>5</v>
      </c>
      <c r="F6" s="24">
        <v>53</v>
      </c>
      <c r="G6" s="19">
        <f t="shared" ref="G6:G9" si="0">SUM(C6:F6)</f>
        <v>74</v>
      </c>
      <c r="H6" s="20" t="str">
        <f t="shared" ref="H6:H69" si="1">IF(C6&gt;=9,"ممتاز",IF(C6&gt;=8,"جيد جداً",IF(C6&gt;=6,"جيد",IF(C6&gt;=5,"مقبول","يُعاد"))))</f>
        <v>جيد</v>
      </c>
      <c r="I6" s="20" t="str">
        <f t="shared" ref="I6:I69" si="2">IF(D6&gt;=9,"ممتاز",IF(D6&gt;=8,"جيد جداً",IF(D6&gt;=6,"جيد",IF(D6&gt;=5,"مقبول","يُعاد"))))</f>
        <v>ممتاز</v>
      </c>
      <c r="J6" s="20" t="str">
        <f t="shared" ref="J6:J69" si="3">IF(E6&gt;=9,"ممتاز",IF(E6&gt;=8,"جيد جداً",IF(E6&gt;=6,"جيد",IF(E6&gt;=5,"مقبول","يُعاد"))))</f>
        <v>مقبول</v>
      </c>
      <c r="K6" s="20" t="str">
        <f t="shared" ref="K6:K69" si="4">IF(F6&gt;=60,"ممتاز",IF(F6&gt;=55,"جيد جداً",IF(F6&gt;=45,"جيد",IF(F6&gt;=35,"مقبول","يُعاد"))))</f>
        <v>جيد</v>
      </c>
      <c r="L6" s="21" t="str">
        <f t="shared" ref="L6:L69" si="5">IF(G6&gt;=90,"ممتاز",IF(G6&gt;=80,"جيد جداً",IF(G6&gt;=60,"جيد",IF(G6&gt;=50,"مقبول","راسب"))))</f>
        <v>جيد</v>
      </c>
      <c r="M6" s="28"/>
      <c r="N6" s="28"/>
    </row>
    <row r="7" spans="1:14" ht="36" x14ac:dyDescent="0.2">
      <c r="A7" s="30">
        <v>3</v>
      </c>
      <c r="B7" s="22" t="s">
        <v>98</v>
      </c>
      <c r="C7" s="23">
        <v>8</v>
      </c>
      <c r="D7" s="23">
        <v>10</v>
      </c>
      <c r="E7" s="23">
        <v>5</v>
      </c>
      <c r="F7" s="24">
        <v>70</v>
      </c>
      <c r="G7" s="19">
        <f t="shared" si="0"/>
        <v>93</v>
      </c>
      <c r="H7" s="20" t="str">
        <f t="shared" si="1"/>
        <v>جيد جداً</v>
      </c>
      <c r="I7" s="20" t="str">
        <f t="shared" si="2"/>
        <v>ممتاز</v>
      </c>
      <c r="J7" s="20" t="str">
        <f t="shared" si="3"/>
        <v>مقبول</v>
      </c>
      <c r="K7" s="20" t="str">
        <f>IF(G5&gt;=90,"ممتاز",IF(G5&gt;=80,"جيد جداً",IF(G5&gt;=60,"جيد",IF(G5&gt;=50,"مقبول","راسب"))))</f>
        <v>راسب</v>
      </c>
      <c r="L7" s="21" t="str">
        <f t="shared" si="5"/>
        <v>ممتاز</v>
      </c>
      <c r="M7" s="28"/>
      <c r="N7" s="28"/>
    </row>
    <row r="8" spans="1:14" ht="36" x14ac:dyDescent="0.2">
      <c r="A8" s="30">
        <v>4</v>
      </c>
      <c r="B8" s="22" t="s">
        <v>99</v>
      </c>
      <c r="C8" s="23">
        <v>0</v>
      </c>
      <c r="D8" s="23">
        <v>0</v>
      </c>
      <c r="E8" s="23">
        <v>0</v>
      </c>
      <c r="F8" s="24">
        <v>0</v>
      </c>
      <c r="G8" s="19">
        <f t="shared" si="0"/>
        <v>0</v>
      </c>
      <c r="H8" s="20" t="str">
        <f t="shared" si="1"/>
        <v>يُعاد</v>
      </c>
      <c r="I8" s="20" t="str">
        <f t="shared" si="2"/>
        <v>يُعاد</v>
      </c>
      <c r="J8" s="20" t="str">
        <f t="shared" si="3"/>
        <v>يُعاد</v>
      </c>
      <c r="K8" s="20" t="str">
        <f t="shared" si="4"/>
        <v>يُعاد</v>
      </c>
      <c r="L8" s="21" t="str">
        <f t="shared" si="5"/>
        <v>راسب</v>
      </c>
      <c r="M8" s="28"/>
      <c r="N8" s="28"/>
    </row>
    <row r="9" spans="1:14" ht="36" x14ac:dyDescent="0.2">
      <c r="A9" s="30">
        <v>5</v>
      </c>
      <c r="B9" s="22" t="s">
        <v>23</v>
      </c>
      <c r="C9" s="23">
        <v>8</v>
      </c>
      <c r="D9" s="23">
        <v>10</v>
      </c>
      <c r="E9" s="23">
        <v>5</v>
      </c>
      <c r="F9" s="24">
        <v>70</v>
      </c>
      <c r="G9" s="19">
        <f t="shared" si="0"/>
        <v>93</v>
      </c>
      <c r="H9" s="20" t="str">
        <f t="shared" si="1"/>
        <v>جيد جداً</v>
      </c>
      <c r="I9" s="20" t="str">
        <f t="shared" si="2"/>
        <v>ممتاز</v>
      </c>
      <c r="J9" s="20" t="str">
        <f t="shared" si="3"/>
        <v>مقبول</v>
      </c>
      <c r="K9" s="20" t="str">
        <f t="shared" si="4"/>
        <v>ممتاز</v>
      </c>
      <c r="L9" s="21" t="str">
        <f t="shared" si="5"/>
        <v>ممتاز</v>
      </c>
      <c r="M9" s="28"/>
      <c r="N9" s="28"/>
    </row>
    <row r="10" spans="1:14" ht="36" x14ac:dyDescent="0.2">
      <c r="A10" s="30">
        <v>6</v>
      </c>
      <c r="B10" s="22" t="s">
        <v>100</v>
      </c>
      <c r="C10" s="23">
        <v>5</v>
      </c>
      <c r="D10" s="23">
        <v>10</v>
      </c>
      <c r="E10" s="23">
        <v>5</v>
      </c>
      <c r="F10" s="24">
        <v>70</v>
      </c>
      <c r="G10" s="19">
        <f t="shared" ref="G10:G69" si="6">SUM(C10:F10)</f>
        <v>90</v>
      </c>
      <c r="H10" s="20" t="str">
        <f t="shared" si="1"/>
        <v>مقبول</v>
      </c>
      <c r="I10" s="20" t="str">
        <f t="shared" si="2"/>
        <v>ممتاز</v>
      </c>
      <c r="J10" s="20" t="str">
        <f t="shared" si="3"/>
        <v>مقبول</v>
      </c>
      <c r="K10" s="20" t="str">
        <f t="shared" si="4"/>
        <v>ممتاز</v>
      </c>
      <c r="L10" s="21" t="str">
        <f t="shared" si="5"/>
        <v>ممتاز</v>
      </c>
      <c r="M10" s="28"/>
      <c r="N10" s="28"/>
    </row>
    <row r="11" spans="1:14" ht="36" x14ac:dyDescent="0.2">
      <c r="A11" s="30">
        <v>7</v>
      </c>
      <c r="B11" s="22" t="s">
        <v>101</v>
      </c>
      <c r="C11" s="23">
        <v>5</v>
      </c>
      <c r="D11" s="23">
        <v>6</v>
      </c>
      <c r="E11" s="23">
        <v>6</v>
      </c>
      <c r="F11" s="24">
        <v>48</v>
      </c>
      <c r="G11" s="19">
        <f t="shared" si="6"/>
        <v>65</v>
      </c>
      <c r="H11" s="20" t="str">
        <f t="shared" si="1"/>
        <v>مقبول</v>
      </c>
      <c r="I11" s="20" t="str">
        <f t="shared" si="2"/>
        <v>جيد</v>
      </c>
      <c r="J11" s="20" t="str">
        <f t="shared" si="3"/>
        <v>جيد</v>
      </c>
      <c r="K11" s="20" t="str">
        <f t="shared" si="4"/>
        <v>جيد</v>
      </c>
      <c r="L11" s="21" t="str">
        <f t="shared" si="5"/>
        <v>جيد</v>
      </c>
      <c r="M11" s="28"/>
      <c r="N11" s="28"/>
    </row>
    <row r="12" spans="1:14" ht="36" x14ac:dyDescent="0.2">
      <c r="A12" s="30">
        <v>8</v>
      </c>
      <c r="B12" s="22" t="s">
        <v>102</v>
      </c>
      <c r="C12" s="23">
        <v>5</v>
      </c>
      <c r="D12" s="23">
        <v>8</v>
      </c>
      <c r="E12" s="23">
        <v>5</v>
      </c>
      <c r="F12" s="24">
        <v>70</v>
      </c>
      <c r="G12" s="19">
        <f t="shared" si="6"/>
        <v>88</v>
      </c>
      <c r="H12" s="20" t="str">
        <f t="shared" si="1"/>
        <v>مقبول</v>
      </c>
      <c r="I12" s="20" t="str">
        <f t="shared" si="2"/>
        <v>جيد جداً</v>
      </c>
      <c r="J12" s="20" t="str">
        <f t="shared" si="3"/>
        <v>مقبول</v>
      </c>
      <c r="K12" s="20" t="str">
        <f t="shared" si="4"/>
        <v>ممتاز</v>
      </c>
      <c r="L12" s="21" t="str">
        <f t="shared" si="5"/>
        <v>جيد جداً</v>
      </c>
      <c r="M12" s="28"/>
      <c r="N12" s="28"/>
    </row>
    <row r="13" spans="1:14" ht="36" x14ac:dyDescent="0.2">
      <c r="A13" s="30">
        <v>9</v>
      </c>
      <c r="B13" s="22" t="s">
        <v>103</v>
      </c>
      <c r="C13" s="23">
        <v>6</v>
      </c>
      <c r="D13" s="23">
        <v>10</v>
      </c>
      <c r="E13" s="23">
        <v>6</v>
      </c>
      <c r="F13" s="24">
        <v>65</v>
      </c>
      <c r="G13" s="19">
        <f t="shared" si="6"/>
        <v>87</v>
      </c>
      <c r="H13" s="20" t="str">
        <f t="shared" si="1"/>
        <v>جيد</v>
      </c>
      <c r="I13" s="20" t="str">
        <f t="shared" si="2"/>
        <v>ممتاز</v>
      </c>
      <c r="J13" s="20" t="str">
        <f t="shared" si="3"/>
        <v>جيد</v>
      </c>
      <c r="K13" s="20" t="str">
        <f t="shared" si="4"/>
        <v>ممتاز</v>
      </c>
      <c r="L13" s="21" t="str">
        <f t="shared" si="5"/>
        <v>جيد جداً</v>
      </c>
      <c r="M13" s="28"/>
      <c r="N13" s="28"/>
    </row>
    <row r="14" spans="1:14" ht="36" x14ac:dyDescent="0.2">
      <c r="A14" s="30">
        <v>10</v>
      </c>
      <c r="B14" s="22" t="s">
        <v>104</v>
      </c>
      <c r="C14" s="23"/>
      <c r="D14" s="23"/>
      <c r="E14" s="23"/>
      <c r="F14" s="24">
        <v>0</v>
      </c>
      <c r="G14" s="19">
        <f t="shared" si="6"/>
        <v>0</v>
      </c>
      <c r="H14" s="20" t="str">
        <f t="shared" si="1"/>
        <v>يُعاد</v>
      </c>
      <c r="I14" s="20" t="str">
        <f t="shared" si="2"/>
        <v>يُعاد</v>
      </c>
      <c r="J14" s="20" t="str">
        <f t="shared" si="3"/>
        <v>يُعاد</v>
      </c>
      <c r="K14" s="20" t="str">
        <f t="shared" si="4"/>
        <v>يُعاد</v>
      </c>
      <c r="L14" s="21" t="str">
        <f t="shared" si="5"/>
        <v>راسب</v>
      </c>
      <c r="M14" s="28"/>
      <c r="N14" s="28"/>
    </row>
    <row r="15" spans="1:14" ht="36" x14ac:dyDescent="0.2">
      <c r="A15" s="30">
        <v>11</v>
      </c>
      <c r="B15" s="22" t="s">
        <v>105</v>
      </c>
      <c r="C15" s="23">
        <v>10</v>
      </c>
      <c r="D15" s="23">
        <v>10</v>
      </c>
      <c r="E15" s="23">
        <v>7</v>
      </c>
      <c r="F15" s="24">
        <v>70</v>
      </c>
      <c r="G15" s="19">
        <f t="shared" si="6"/>
        <v>97</v>
      </c>
      <c r="H15" s="20" t="str">
        <f t="shared" si="1"/>
        <v>ممتاز</v>
      </c>
      <c r="I15" s="20" t="str">
        <f t="shared" si="2"/>
        <v>ممتاز</v>
      </c>
      <c r="J15" s="20" t="str">
        <f t="shared" si="3"/>
        <v>جيد</v>
      </c>
      <c r="K15" s="20" t="str">
        <f t="shared" si="4"/>
        <v>ممتاز</v>
      </c>
      <c r="L15" s="21" t="str">
        <f t="shared" si="5"/>
        <v>ممتاز</v>
      </c>
      <c r="M15" s="28"/>
      <c r="N15" s="28"/>
    </row>
    <row r="16" spans="1:14" ht="36" x14ac:dyDescent="0.2">
      <c r="A16" s="30">
        <v>12</v>
      </c>
      <c r="B16" s="22" t="s">
        <v>106</v>
      </c>
      <c r="C16" s="23">
        <v>10</v>
      </c>
      <c r="D16" s="23">
        <v>10</v>
      </c>
      <c r="E16" s="23">
        <v>7</v>
      </c>
      <c r="F16" s="24">
        <v>70</v>
      </c>
      <c r="G16" s="19">
        <f t="shared" si="6"/>
        <v>97</v>
      </c>
      <c r="H16" s="20" t="str">
        <f t="shared" si="1"/>
        <v>ممتاز</v>
      </c>
      <c r="I16" s="20" t="str">
        <f t="shared" si="2"/>
        <v>ممتاز</v>
      </c>
      <c r="J16" s="20" t="str">
        <f t="shared" si="3"/>
        <v>جيد</v>
      </c>
      <c r="K16" s="20" t="str">
        <f t="shared" si="4"/>
        <v>ممتاز</v>
      </c>
      <c r="L16" s="21" t="str">
        <f t="shared" si="5"/>
        <v>ممتاز</v>
      </c>
      <c r="M16" s="28"/>
      <c r="N16" s="28"/>
    </row>
    <row r="17" spans="1:14" ht="36" x14ac:dyDescent="0.2">
      <c r="A17" s="30">
        <v>13</v>
      </c>
      <c r="B17" s="22" t="s">
        <v>20</v>
      </c>
      <c r="C17" s="23">
        <v>5</v>
      </c>
      <c r="D17" s="23">
        <v>8</v>
      </c>
      <c r="E17" s="23">
        <v>5</v>
      </c>
      <c r="F17" s="24">
        <v>40</v>
      </c>
      <c r="G17" s="19">
        <f t="shared" si="6"/>
        <v>58</v>
      </c>
      <c r="H17" s="20" t="str">
        <f t="shared" si="1"/>
        <v>مقبول</v>
      </c>
      <c r="I17" s="20" t="str">
        <f t="shared" si="2"/>
        <v>جيد جداً</v>
      </c>
      <c r="J17" s="20" t="str">
        <f t="shared" si="3"/>
        <v>مقبول</v>
      </c>
      <c r="K17" s="20" t="str">
        <f t="shared" si="4"/>
        <v>مقبول</v>
      </c>
      <c r="L17" s="21" t="str">
        <f t="shared" si="5"/>
        <v>مقبول</v>
      </c>
      <c r="M17" s="28"/>
      <c r="N17" s="28"/>
    </row>
    <row r="18" spans="1:14" ht="36" x14ac:dyDescent="0.2">
      <c r="A18" s="30">
        <v>14</v>
      </c>
      <c r="B18" s="22" t="s">
        <v>107</v>
      </c>
      <c r="C18" s="23">
        <v>0</v>
      </c>
      <c r="D18" s="23">
        <v>0</v>
      </c>
      <c r="E18" s="23">
        <v>0</v>
      </c>
      <c r="F18" s="24">
        <v>0</v>
      </c>
      <c r="G18" s="19">
        <f t="shared" si="6"/>
        <v>0</v>
      </c>
      <c r="H18" s="20" t="str">
        <f t="shared" si="1"/>
        <v>يُعاد</v>
      </c>
      <c r="I18" s="20" t="str">
        <f t="shared" si="2"/>
        <v>يُعاد</v>
      </c>
      <c r="J18" s="20" t="str">
        <f t="shared" si="3"/>
        <v>يُعاد</v>
      </c>
      <c r="K18" s="20" t="str">
        <f t="shared" si="4"/>
        <v>يُعاد</v>
      </c>
      <c r="L18" s="21" t="str">
        <f t="shared" si="5"/>
        <v>راسب</v>
      </c>
      <c r="M18" s="28"/>
      <c r="N18" s="28"/>
    </row>
    <row r="19" spans="1:14" ht="36" x14ac:dyDescent="0.2">
      <c r="A19" s="30">
        <v>15</v>
      </c>
      <c r="B19" s="22" t="s">
        <v>108</v>
      </c>
      <c r="C19" s="23">
        <v>0</v>
      </c>
      <c r="D19" s="23">
        <v>0</v>
      </c>
      <c r="E19" s="23">
        <v>0</v>
      </c>
      <c r="F19" s="24">
        <v>0</v>
      </c>
      <c r="G19" s="19">
        <f t="shared" si="6"/>
        <v>0</v>
      </c>
      <c r="H19" s="20" t="str">
        <f t="shared" si="1"/>
        <v>يُعاد</v>
      </c>
      <c r="I19" s="20" t="str">
        <f t="shared" si="2"/>
        <v>يُعاد</v>
      </c>
      <c r="J19" s="20" t="str">
        <f t="shared" si="3"/>
        <v>يُعاد</v>
      </c>
      <c r="K19" s="20" t="str">
        <f t="shared" si="4"/>
        <v>يُعاد</v>
      </c>
      <c r="L19" s="21" t="str">
        <f t="shared" si="5"/>
        <v>راسب</v>
      </c>
      <c r="M19" s="28"/>
      <c r="N19" s="28"/>
    </row>
    <row r="20" spans="1:14" ht="36" x14ac:dyDescent="0.2">
      <c r="A20" s="30">
        <v>16</v>
      </c>
      <c r="B20" s="22" t="s">
        <v>109</v>
      </c>
      <c r="C20" s="23">
        <v>0</v>
      </c>
      <c r="D20" s="23">
        <v>0</v>
      </c>
      <c r="E20" s="23">
        <v>0</v>
      </c>
      <c r="F20" s="24">
        <v>0</v>
      </c>
      <c r="G20" s="19">
        <f t="shared" si="6"/>
        <v>0</v>
      </c>
      <c r="H20" s="20" t="str">
        <f t="shared" si="1"/>
        <v>يُعاد</v>
      </c>
      <c r="I20" s="20" t="str">
        <f t="shared" si="2"/>
        <v>يُعاد</v>
      </c>
      <c r="J20" s="20" t="str">
        <f t="shared" si="3"/>
        <v>يُعاد</v>
      </c>
      <c r="K20" s="20" t="str">
        <f t="shared" si="4"/>
        <v>يُعاد</v>
      </c>
      <c r="L20" s="21" t="str">
        <f t="shared" si="5"/>
        <v>راسب</v>
      </c>
      <c r="M20" s="28"/>
      <c r="N20" s="28"/>
    </row>
    <row r="21" spans="1:14" ht="36" x14ac:dyDescent="0.2">
      <c r="A21" s="30">
        <v>17</v>
      </c>
      <c r="B21" s="22" t="s">
        <v>22</v>
      </c>
      <c r="C21" s="23">
        <v>5</v>
      </c>
      <c r="D21" s="23">
        <v>10</v>
      </c>
      <c r="E21" s="23">
        <v>5</v>
      </c>
      <c r="F21" s="24">
        <v>70</v>
      </c>
      <c r="G21" s="19">
        <f t="shared" si="6"/>
        <v>90</v>
      </c>
      <c r="H21" s="20" t="str">
        <f t="shared" si="1"/>
        <v>مقبول</v>
      </c>
      <c r="I21" s="20" t="str">
        <f t="shared" si="2"/>
        <v>ممتاز</v>
      </c>
      <c r="J21" s="20" t="str">
        <f t="shared" si="3"/>
        <v>مقبول</v>
      </c>
      <c r="K21" s="20" t="str">
        <f t="shared" si="4"/>
        <v>ممتاز</v>
      </c>
      <c r="L21" s="21" t="str">
        <f t="shared" si="5"/>
        <v>ممتاز</v>
      </c>
      <c r="M21" s="28"/>
      <c r="N21" s="28"/>
    </row>
    <row r="22" spans="1:14" ht="36" x14ac:dyDescent="0.2">
      <c r="A22" s="30">
        <v>18</v>
      </c>
      <c r="B22" s="22" t="s">
        <v>110</v>
      </c>
      <c r="C22" s="23">
        <v>8</v>
      </c>
      <c r="D22" s="23">
        <v>10</v>
      </c>
      <c r="E22" s="23">
        <v>6</v>
      </c>
      <c r="F22" s="24">
        <v>70</v>
      </c>
      <c r="G22" s="19">
        <f t="shared" si="6"/>
        <v>94</v>
      </c>
      <c r="H22" s="20" t="str">
        <f t="shared" si="1"/>
        <v>جيد جداً</v>
      </c>
      <c r="I22" s="20" t="str">
        <f t="shared" si="2"/>
        <v>ممتاز</v>
      </c>
      <c r="J22" s="20" t="str">
        <f t="shared" si="3"/>
        <v>جيد</v>
      </c>
      <c r="K22" s="20" t="str">
        <f t="shared" si="4"/>
        <v>ممتاز</v>
      </c>
      <c r="L22" s="21" t="str">
        <f t="shared" si="5"/>
        <v>ممتاز</v>
      </c>
      <c r="M22" s="28"/>
      <c r="N22" s="28"/>
    </row>
    <row r="23" spans="1:14" ht="36" x14ac:dyDescent="0.2">
      <c r="A23" s="30">
        <v>19</v>
      </c>
      <c r="B23" s="22" t="s">
        <v>111</v>
      </c>
      <c r="C23" s="23">
        <v>6</v>
      </c>
      <c r="D23" s="23">
        <v>7</v>
      </c>
      <c r="E23" s="23">
        <v>7</v>
      </c>
      <c r="F23" s="24">
        <v>68</v>
      </c>
      <c r="G23" s="19">
        <f t="shared" si="6"/>
        <v>88</v>
      </c>
      <c r="H23" s="20" t="str">
        <f t="shared" si="1"/>
        <v>جيد</v>
      </c>
      <c r="I23" s="20" t="str">
        <f t="shared" si="2"/>
        <v>جيد</v>
      </c>
      <c r="J23" s="20" t="str">
        <f t="shared" si="3"/>
        <v>جيد</v>
      </c>
      <c r="K23" s="20" t="str">
        <f t="shared" si="4"/>
        <v>ممتاز</v>
      </c>
      <c r="L23" s="21" t="str">
        <f t="shared" si="5"/>
        <v>جيد جداً</v>
      </c>
      <c r="M23" s="28"/>
      <c r="N23" s="28"/>
    </row>
    <row r="24" spans="1:14" ht="36" x14ac:dyDescent="0.2">
      <c r="A24" s="30">
        <v>20</v>
      </c>
      <c r="B24" s="22" t="s">
        <v>112</v>
      </c>
      <c r="C24" s="23">
        <v>10</v>
      </c>
      <c r="D24" s="23">
        <v>10</v>
      </c>
      <c r="E24" s="23">
        <v>7</v>
      </c>
      <c r="F24" s="24">
        <v>70</v>
      </c>
      <c r="G24" s="19">
        <f t="shared" si="6"/>
        <v>97</v>
      </c>
      <c r="H24" s="20" t="str">
        <f t="shared" si="1"/>
        <v>ممتاز</v>
      </c>
      <c r="I24" s="20" t="str">
        <f t="shared" si="2"/>
        <v>ممتاز</v>
      </c>
      <c r="J24" s="20" t="str">
        <f t="shared" si="3"/>
        <v>جيد</v>
      </c>
      <c r="K24" s="20" t="str">
        <f t="shared" si="4"/>
        <v>ممتاز</v>
      </c>
      <c r="L24" s="21" t="str">
        <f t="shared" si="5"/>
        <v>ممتاز</v>
      </c>
      <c r="M24" s="28"/>
      <c r="N24" s="28"/>
    </row>
    <row r="25" spans="1:14" ht="36" x14ac:dyDescent="0.2">
      <c r="A25" s="30">
        <v>21</v>
      </c>
      <c r="B25" s="22" t="s">
        <v>113</v>
      </c>
      <c r="C25" s="23">
        <v>5</v>
      </c>
      <c r="D25" s="23">
        <v>10</v>
      </c>
      <c r="E25" s="23">
        <v>5</v>
      </c>
      <c r="F25" s="24">
        <v>70</v>
      </c>
      <c r="G25" s="19">
        <f t="shared" si="6"/>
        <v>90</v>
      </c>
      <c r="H25" s="20" t="str">
        <f t="shared" si="1"/>
        <v>مقبول</v>
      </c>
      <c r="I25" s="20" t="str">
        <f t="shared" si="2"/>
        <v>ممتاز</v>
      </c>
      <c r="J25" s="20" t="str">
        <f t="shared" si="3"/>
        <v>مقبول</v>
      </c>
      <c r="K25" s="20" t="str">
        <f t="shared" si="4"/>
        <v>ممتاز</v>
      </c>
      <c r="L25" s="21" t="str">
        <f t="shared" si="5"/>
        <v>ممتاز</v>
      </c>
      <c r="M25" s="28"/>
      <c r="N25" s="28"/>
    </row>
    <row r="26" spans="1:14" ht="36" x14ac:dyDescent="0.2">
      <c r="A26" s="30">
        <v>22</v>
      </c>
      <c r="B26" s="22" t="s">
        <v>114</v>
      </c>
      <c r="C26" s="23">
        <v>5</v>
      </c>
      <c r="D26" s="23">
        <v>5</v>
      </c>
      <c r="E26" s="23">
        <v>5</v>
      </c>
      <c r="F26" s="24">
        <v>48</v>
      </c>
      <c r="G26" s="19">
        <f t="shared" si="6"/>
        <v>63</v>
      </c>
      <c r="H26" s="20" t="str">
        <f t="shared" si="1"/>
        <v>مقبول</v>
      </c>
      <c r="I26" s="20" t="str">
        <f t="shared" si="2"/>
        <v>مقبول</v>
      </c>
      <c r="J26" s="20" t="str">
        <f t="shared" si="3"/>
        <v>مقبول</v>
      </c>
      <c r="K26" s="20" t="str">
        <f t="shared" si="4"/>
        <v>جيد</v>
      </c>
      <c r="L26" s="21" t="str">
        <f t="shared" si="5"/>
        <v>جيد</v>
      </c>
      <c r="M26" s="28"/>
      <c r="N26" s="28"/>
    </row>
    <row r="27" spans="1:14" ht="36" x14ac:dyDescent="0.2">
      <c r="A27" s="30">
        <v>23</v>
      </c>
      <c r="B27" s="22" t="s">
        <v>115</v>
      </c>
      <c r="C27" s="23">
        <v>5</v>
      </c>
      <c r="D27" s="23">
        <v>10</v>
      </c>
      <c r="E27" s="23">
        <v>5</v>
      </c>
      <c r="F27" s="24">
        <v>61</v>
      </c>
      <c r="G27" s="19">
        <f t="shared" si="6"/>
        <v>81</v>
      </c>
      <c r="H27" s="20" t="str">
        <f t="shared" si="1"/>
        <v>مقبول</v>
      </c>
      <c r="I27" s="20" t="str">
        <f t="shared" si="2"/>
        <v>ممتاز</v>
      </c>
      <c r="J27" s="20" t="str">
        <f t="shared" si="3"/>
        <v>مقبول</v>
      </c>
      <c r="K27" s="20" t="str">
        <f t="shared" si="4"/>
        <v>ممتاز</v>
      </c>
      <c r="L27" s="21" t="str">
        <f t="shared" si="5"/>
        <v>جيد جداً</v>
      </c>
      <c r="M27" s="28"/>
      <c r="N27" s="28"/>
    </row>
    <row r="28" spans="1:14" ht="36" x14ac:dyDescent="0.2">
      <c r="A28" s="30">
        <v>24</v>
      </c>
      <c r="B28" s="22" t="s">
        <v>116</v>
      </c>
      <c r="C28" s="23">
        <v>5</v>
      </c>
      <c r="D28" s="23">
        <v>5</v>
      </c>
      <c r="E28" s="23">
        <v>5</v>
      </c>
      <c r="F28" s="24">
        <v>35</v>
      </c>
      <c r="G28" s="19">
        <f t="shared" si="6"/>
        <v>50</v>
      </c>
      <c r="H28" s="20" t="str">
        <f t="shared" si="1"/>
        <v>مقبول</v>
      </c>
      <c r="I28" s="20" t="str">
        <f t="shared" si="2"/>
        <v>مقبول</v>
      </c>
      <c r="J28" s="20" t="str">
        <f t="shared" si="3"/>
        <v>مقبول</v>
      </c>
      <c r="K28" s="20" t="str">
        <f t="shared" si="4"/>
        <v>مقبول</v>
      </c>
      <c r="L28" s="21" t="str">
        <f t="shared" si="5"/>
        <v>مقبول</v>
      </c>
      <c r="M28" s="28"/>
      <c r="N28" s="28"/>
    </row>
    <row r="29" spans="1:14" ht="36" x14ac:dyDescent="0.2">
      <c r="A29" s="30">
        <v>25</v>
      </c>
      <c r="B29" s="22" t="s">
        <v>117</v>
      </c>
      <c r="C29" s="23">
        <v>10</v>
      </c>
      <c r="D29" s="23">
        <v>10</v>
      </c>
      <c r="E29" s="23">
        <v>5</v>
      </c>
      <c r="F29" s="24">
        <v>67</v>
      </c>
      <c r="G29" s="19">
        <f t="shared" si="6"/>
        <v>92</v>
      </c>
      <c r="H29" s="20" t="str">
        <f t="shared" si="1"/>
        <v>ممتاز</v>
      </c>
      <c r="I29" s="20" t="str">
        <f t="shared" si="2"/>
        <v>ممتاز</v>
      </c>
      <c r="J29" s="20" t="str">
        <f t="shared" si="3"/>
        <v>مقبول</v>
      </c>
      <c r="K29" s="20" t="str">
        <f t="shared" si="4"/>
        <v>ممتاز</v>
      </c>
      <c r="L29" s="21" t="str">
        <f t="shared" si="5"/>
        <v>ممتاز</v>
      </c>
      <c r="M29" s="28"/>
      <c r="N29" s="28"/>
    </row>
    <row r="30" spans="1:14" ht="36" x14ac:dyDescent="0.2">
      <c r="A30" s="30">
        <v>26</v>
      </c>
      <c r="B30" s="22" t="s">
        <v>118</v>
      </c>
      <c r="C30" s="23">
        <v>5</v>
      </c>
      <c r="D30" s="23">
        <v>8</v>
      </c>
      <c r="E30" s="23">
        <v>5</v>
      </c>
      <c r="F30" s="24">
        <v>58</v>
      </c>
      <c r="G30" s="19">
        <f t="shared" si="6"/>
        <v>76</v>
      </c>
      <c r="H30" s="20" t="str">
        <f t="shared" si="1"/>
        <v>مقبول</v>
      </c>
      <c r="I30" s="20" t="str">
        <f t="shared" si="2"/>
        <v>جيد جداً</v>
      </c>
      <c r="J30" s="20" t="str">
        <f t="shared" si="3"/>
        <v>مقبول</v>
      </c>
      <c r="K30" s="20" t="str">
        <f t="shared" si="4"/>
        <v>جيد جداً</v>
      </c>
      <c r="L30" s="21" t="str">
        <f t="shared" si="5"/>
        <v>جيد</v>
      </c>
      <c r="M30" s="28"/>
      <c r="N30" s="28"/>
    </row>
    <row r="31" spans="1:14" ht="36" x14ac:dyDescent="0.2">
      <c r="A31" s="30">
        <v>27</v>
      </c>
      <c r="B31" s="22" t="s">
        <v>16</v>
      </c>
      <c r="C31" s="23">
        <v>10</v>
      </c>
      <c r="D31" s="23">
        <v>10</v>
      </c>
      <c r="E31" s="23">
        <v>10</v>
      </c>
      <c r="F31" s="24">
        <v>70</v>
      </c>
      <c r="G31" s="19">
        <f t="shared" si="6"/>
        <v>100</v>
      </c>
      <c r="H31" s="20" t="str">
        <f t="shared" si="1"/>
        <v>ممتاز</v>
      </c>
      <c r="I31" s="20" t="str">
        <f t="shared" si="2"/>
        <v>ممتاز</v>
      </c>
      <c r="J31" s="20" t="str">
        <f t="shared" si="3"/>
        <v>ممتاز</v>
      </c>
      <c r="K31" s="20" t="str">
        <f t="shared" si="4"/>
        <v>ممتاز</v>
      </c>
      <c r="L31" s="21" t="str">
        <f t="shared" si="5"/>
        <v>ممتاز</v>
      </c>
      <c r="M31" s="28"/>
      <c r="N31" s="28"/>
    </row>
    <row r="32" spans="1:14" ht="36" x14ac:dyDescent="0.2">
      <c r="A32" s="30">
        <v>28</v>
      </c>
      <c r="B32" s="22" t="s">
        <v>119</v>
      </c>
      <c r="C32" s="23">
        <v>0</v>
      </c>
      <c r="D32" s="23">
        <v>0</v>
      </c>
      <c r="E32" s="23">
        <v>0</v>
      </c>
      <c r="F32" s="24">
        <v>0</v>
      </c>
      <c r="G32" s="19">
        <f t="shared" si="6"/>
        <v>0</v>
      </c>
      <c r="H32" s="20" t="str">
        <f t="shared" si="1"/>
        <v>يُعاد</v>
      </c>
      <c r="I32" s="20" t="str">
        <f t="shared" si="2"/>
        <v>يُعاد</v>
      </c>
      <c r="J32" s="20" t="str">
        <f t="shared" si="3"/>
        <v>يُعاد</v>
      </c>
      <c r="K32" s="20" t="str">
        <f t="shared" si="4"/>
        <v>يُعاد</v>
      </c>
      <c r="L32" s="21" t="str">
        <f t="shared" si="5"/>
        <v>راسب</v>
      </c>
      <c r="M32" s="28"/>
      <c r="N32" s="28"/>
    </row>
    <row r="33" spans="1:14" ht="36" x14ac:dyDescent="0.2">
      <c r="A33" s="30">
        <v>29</v>
      </c>
      <c r="B33" s="22" t="s">
        <v>120</v>
      </c>
      <c r="C33" s="23">
        <v>5</v>
      </c>
      <c r="D33" s="23">
        <v>8</v>
      </c>
      <c r="E33" s="23">
        <v>5</v>
      </c>
      <c r="F33" s="24">
        <v>70</v>
      </c>
      <c r="G33" s="19">
        <f t="shared" si="6"/>
        <v>88</v>
      </c>
      <c r="H33" s="20" t="str">
        <f t="shared" si="1"/>
        <v>مقبول</v>
      </c>
      <c r="I33" s="20" t="str">
        <f t="shared" si="2"/>
        <v>جيد جداً</v>
      </c>
      <c r="J33" s="20" t="str">
        <f t="shared" si="3"/>
        <v>مقبول</v>
      </c>
      <c r="K33" s="20" t="str">
        <f t="shared" si="4"/>
        <v>ممتاز</v>
      </c>
      <c r="L33" s="21" t="str">
        <f t="shared" si="5"/>
        <v>جيد جداً</v>
      </c>
      <c r="M33" s="28"/>
      <c r="N33" s="28"/>
    </row>
    <row r="34" spans="1:14" ht="36" x14ac:dyDescent="0.2">
      <c r="A34" s="30">
        <v>30</v>
      </c>
      <c r="B34" s="22" t="s">
        <v>121</v>
      </c>
      <c r="C34" s="23">
        <v>5</v>
      </c>
      <c r="D34" s="23">
        <v>6</v>
      </c>
      <c r="E34" s="23">
        <v>5</v>
      </c>
      <c r="F34" s="24">
        <v>64</v>
      </c>
      <c r="G34" s="19">
        <f t="shared" si="6"/>
        <v>80</v>
      </c>
      <c r="H34" s="20" t="str">
        <f t="shared" si="1"/>
        <v>مقبول</v>
      </c>
      <c r="I34" s="20" t="str">
        <f t="shared" si="2"/>
        <v>جيد</v>
      </c>
      <c r="J34" s="20" t="str">
        <f t="shared" si="3"/>
        <v>مقبول</v>
      </c>
      <c r="K34" s="20" t="str">
        <f t="shared" si="4"/>
        <v>ممتاز</v>
      </c>
      <c r="L34" s="21" t="str">
        <f t="shared" si="5"/>
        <v>جيد جداً</v>
      </c>
      <c r="M34" s="28"/>
      <c r="N34" s="28"/>
    </row>
    <row r="35" spans="1:14" ht="36" x14ac:dyDescent="0.2">
      <c r="A35" s="30">
        <v>31</v>
      </c>
      <c r="B35" s="22" t="s">
        <v>19</v>
      </c>
      <c r="C35" s="23">
        <v>5</v>
      </c>
      <c r="D35" s="23">
        <v>6</v>
      </c>
      <c r="E35" s="23">
        <v>5</v>
      </c>
      <c r="F35" s="24">
        <v>53</v>
      </c>
      <c r="G35" s="19">
        <f t="shared" si="6"/>
        <v>69</v>
      </c>
      <c r="H35" s="20" t="str">
        <f t="shared" si="1"/>
        <v>مقبول</v>
      </c>
      <c r="I35" s="20" t="str">
        <f t="shared" si="2"/>
        <v>جيد</v>
      </c>
      <c r="J35" s="20" t="str">
        <f t="shared" si="3"/>
        <v>مقبول</v>
      </c>
      <c r="K35" s="20" t="str">
        <f t="shared" si="4"/>
        <v>جيد</v>
      </c>
      <c r="L35" s="21" t="str">
        <f t="shared" si="5"/>
        <v>جيد</v>
      </c>
      <c r="M35" s="28"/>
      <c r="N35" s="28"/>
    </row>
    <row r="36" spans="1:14" ht="36" x14ac:dyDescent="0.2">
      <c r="A36" s="30">
        <v>32</v>
      </c>
      <c r="B36" s="22" t="s">
        <v>15</v>
      </c>
      <c r="C36" s="23">
        <v>10</v>
      </c>
      <c r="D36" s="23">
        <v>10</v>
      </c>
      <c r="E36" s="23">
        <v>6</v>
      </c>
      <c r="F36" s="24">
        <v>66</v>
      </c>
      <c r="G36" s="19">
        <f t="shared" si="6"/>
        <v>92</v>
      </c>
      <c r="H36" s="20" t="str">
        <f t="shared" si="1"/>
        <v>ممتاز</v>
      </c>
      <c r="I36" s="20" t="str">
        <f t="shared" si="2"/>
        <v>ممتاز</v>
      </c>
      <c r="J36" s="20" t="str">
        <f t="shared" si="3"/>
        <v>جيد</v>
      </c>
      <c r="K36" s="20" t="str">
        <f t="shared" si="4"/>
        <v>ممتاز</v>
      </c>
      <c r="L36" s="21" t="str">
        <f t="shared" si="5"/>
        <v>ممتاز</v>
      </c>
      <c r="M36" s="28"/>
      <c r="N36" s="28"/>
    </row>
    <row r="37" spans="1:14" ht="36" x14ac:dyDescent="0.2">
      <c r="A37" s="30">
        <v>33</v>
      </c>
      <c r="B37" s="22" t="s">
        <v>122</v>
      </c>
      <c r="C37" s="23">
        <v>0</v>
      </c>
      <c r="D37" s="23">
        <v>0</v>
      </c>
      <c r="E37" s="23">
        <v>0</v>
      </c>
      <c r="F37" s="24">
        <v>0</v>
      </c>
      <c r="G37" s="19">
        <f t="shared" si="6"/>
        <v>0</v>
      </c>
      <c r="H37" s="20" t="str">
        <f t="shared" si="1"/>
        <v>يُعاد</v>
      </c>
      <c r="I37" s="20" t="str">
        <f t="shared" si="2"/>
        <v>يُعاد</v>
      </c>
      <c r="J37" s="20" t="str">
        <f t="shared" si="3"/>
        <v>يُعاد</v>
      </c>
      <c r="K37" s="20" t="str">
        <f t="shared" si="4"/>
        <v>يُعاد</v>
      </c>
      <c r="L37" s="21" t="str">
        <f t="shared" si="5"/>
        <v>راسب</v>
      </c>
      <c r="M37" s="28"/>
      <c r="N37" s="28"/>
    </row>
    <row r="38" spans="1:14" ht="36" x14ac:dyDescent="0.2">
      <c r="A38" s="30">
        <v>34</v>
      </c>
      <c r="B38" s="22" t="s">
        <v>123</v>
      </c>
      <c r="C38" s="23">
        <v>5</v>
      </c>
      <c r="D38" s="23">
        <v>8</v>
      </c>
      <c r="E38" s="23">
        <v>5</v>
      </c>
      <c r="F38" s="24">
        <v>63</v>
      </c>
      <c r="G38" s="19">
        <f t="shared" si="6"/>
        <v>81</v>
      </c>
      <c r="H38" s="20" t="str">
        <f t="shared" si="1"/>
        <v>مقبول</v>
      </c>
      <c r="I38" s="20" t="str">
        <f t="shared" si="2"/>
        <v>جيد جداً</v>
      </c>
      <c r="J38" s="20" t="str">
        <f t="shared" si="3"/>
        <v>مقبول</v>
      </c>
      <c r="K38" s="20" t="str">
        <f t="shared" si="4"/>
        <v>ممتاز</v>
      </c>
      <c r="L38" s="21" t="str">
        <f t="shared" si="5"/>
        <v>جيد جداً</v>
      </c>
      <c r="M38" s="28"/>
      <c r="N38" s="28"/>
    </row>
    <row r="39" spans="1:14" ht="36" x14ac:dyDescent="0.2">
      <c r="A39" s="30">
        <v>35</v>
      </c>
      <c r="B39" s="22" t="s">
        <v>24</v>
      </c>
      <c r="C39" s="23">
        <v>8</v>
      </c>
      <c r="D39" s="23">
        <v>10</v>
      </c>
      <c r="E39" s="23">
        <v>5</v>
      </c>
      <c r="F39" s="24">
        <v>68</v>
      </c>
      <c r="G39" s="19">
        <f t="shared" si="6"/>
        <v>91</v>
      </c>
      <c r="H39" s="20" t="str">
        <f t="shared" si="1"/>
        <v>جيد جداً</v>
      </c>
      <c r="I39" s="20" t="str">
        <f t="shared" si="2"/>
        <v>ممتاز</v>
      </c>
      <c r="J39" s="20" t="str">
        <f t="shared" si="3"/>
        <v>مقبول</v>
      </c>
      <c r="K39" s="20" t="str">
        <f t="shared" si="4"/>
        <v>ممتاز</v>
      </c>
      <c r="L39" s="21" t="str">
        <f t="shared" si="5"/>
        <v>ممتاز</v>
      </c>
      <c r="M39" s="28"/>
      <c r="N39" s="28"/>
    </row>
    <row r="40" spans="1:14" ht="36" x14ac:dyDescent="0.2">
      <c r="A40" s="30">
        <v>36</v>
      </c>
      <c r="B40" s="22" t="s">
        <v>11</v>
      </c>
      <c r="C40" s="23">
        <v>8</v>
      </c>
      <c r="D40" s="23">
        <v>10</v>
      </c>
      <c r="E40" s="23">
        <v>10</v>
      </c>
      <c r="F40" s="24">
        <v>70</v>
      </c>
      <c r="G40" s="19">
        <f t="shared" si="6"/>
        <v>98</v>
      </c>
      <c r="H40" s="20" t="str">
        <f t="shared" si="1"/>
        <v>جيد جداً</v>
      </c>
      <c r="I40" s="20" t="str">
        <f t="shared" si="2"/>
        <v>ممتاز</v>
      </c>
      <c r="J40" s="20" t="str">
        <f t="shared" si="3"/>
        <v>ممتاز</v>
      </c>
      <c r="K40" s="20" t="str">
        <f t="shared" si="4"/>
        <v>ممتاز</v>
      </c>
      <c r="L40" s="21" t="str">
        <f t="shared" si="5"/>
        <v>ممتاز</v>
      </c>
      <c r="M40" s="28"/>
      <c r="N40" s="28"/>
    </row>
    <row r="41" spans="1:14" ht="36" x14ac:dyDescent="0.2">
      <c r="A41" s="30">
        <v>37</v>
      </c>
      <c r="B41" s="22" t="s">
        <v>124</v>
      </c>
      <c r="C41" s="23">
        <v>0</v>
      </c>
      <c r="D41" s="23">
        <v>0</v>
      </c>
      <c r="E41" s="23">
        <v>0</v>
      </c>
      <c r="F41" s="24">
        <v>0</v>
      </c>
      <c r="G41" s="19">
        <f t="shared" si="6"/>
        <v>0</v>
      </c>
      <c r="H41" s="20" t="str">
        <f t="shared" si="1"/>
        <v>يُعاد</v>
      </c>
      <c r="I41" s="20" t="str">
        <f t="shared" si="2"/>
        <v>يُعاد</v>
      </c>
      <c r="J41" s="20" t="str">
        <f t="shared" si="3"/>
        <v>يُعاد</v>
      </c>
      <c r="K41" s="20" t="str">
        <f t="shared" si="4"/>
        <v>يُعاد</v>
      </c>
      <c r="L41" s="21" t="str">
        <f t="shared" si="5"/>
        <v>راسب</v>
      </c>
      <c r="M41" s="28"/>
      <c r="N41" s="28"/>
    </row>
    <row r="42" spans="1:14" ht="36" x14ac:dyDescent="0.2">
      <c r="A42" s="30">
        <v>38</v>
      </c>
      <c r="B42" s="22" t="s">
        <v>125</v>
      </c>
      <c r="C42" s="23">
        <v>0</v>
      </c>
      <c r="D42" s="23">
        <v>0</v>
      </c>
      <c r="E42" s="23">
        <v>0</v>
      </c>
      <c r="F42" s="24">
        <v>0</v>
      </c>
      <c r="G42" s="19">
        <f t="shared" si="6"/>
        <v>0</v>
      </c>
      <c r="H42" s="20" t="str">
        <f t="shared" si="1"/>
        <v>يُعاد</v>
      </c>
      <c r="I42" s="20" t="str">
        <f t="shared" si="2"/>
        <v>يُعاد</v>
      </c>
      <c r="J42" s="20" t="str">
        <f t="shared" si="3"/>
        <v>يُعاد</v>
      </c>
      <c r="K42" s="20" t="str">
        <f t="shared" si="4"/>
        <v>يُعاد</v>
      </c>
      <c r="L42" s="21" t="str">
        <f t="shared" si="5"/>
        <v>راسب</v>
      </c>
      <c r="M42" s="28"/>
      <c r="N42" s="28"/>
    </row>
    <row r="43" spans="1:14" ht="36" x14ac:dyDescent="0.2">
      <c r="A43" s="30">
        <v>39</v>
      </c>
      <c r="B43" s="22" t="s">
        <v>126</v>
      </c>
      <c r="C43" s="23">
        <v>6</v>
      </c>
      <c r="D43" s="23">
        <v>10</v>
      </c>
      <c r="E43" s="23">
        <v>5</v>
      </c>
      <c r="F43" s="24">
        <v>70</v>
      </c>
      <c r="G43" s="19">
        <f t="shared" si="6"/>
        <v>91</v>
      </c>
      <c r="H43" s="20" t="str">
        <f t="shared" si="1"/>
        <v>جيد</v>
      </c>
      <c r="I43" s="20" t="str">
        <f t="shared" si="2"/>
        <v>ممتاز</v>
      </c>
      <c r="J43" s="20" t="str">
        <f t="shared" si="3"/>
        <v>مقبول</v>
      </c>
      <c r="K43" s="20" t="str">
        <f t="shared" si="4"/>
        <v>ممتاز</v>
      </c>
      <c r="L43" s="21" t="str">
        <f t="shared" si="5"/>
        <v>ممتاز</v>
      </c>
      <c r="M43" s="28"/>
      <c r="N43" s="28"/>
    </row>
    <row r="44" spans="1:14" ht="36" x14ac:dyDescent="0.2">
      <c r="A44" s="30">
        <v>40</v>
      </c>
      <c r="B44" s="22" t="s">
        <v>127</v>
      </c>
      <c r="C44" s="23">
        <v>0</v>
      </c>
      <c r="D44" s="23">
        <v>0</v>
      </c>
      <c r="E44" s="23">
        <v>0</v>
      </c>
      <c r="F44" s="24">
        <v>0</v>
      </c>
      <c r="G44" s="19">
        <f t="shared" si="6"/>
        <v>0</v>
      </c>
      <c r="H44" s="20" t="str">
        <f t="shared" si="1"/>
        <v>يُعاد</v>
      </c>
      <c r="I44" s="20" t="str">
        <f t="shared" si="2"/>
        <v>يُعاد</v>
      </c>
      <c r="J44" s="20" t="str">
        <f t="shared" si="3"/>
        <v>يُعاد</v>
      </c>
      <c r="K44" s="20" t="str">
        <f t="shared" si="4"/>
        <v>يُعاد</v>
      </c>
      <c r="L44" s="21" t="str">
        <f t="shared" si="5"/>
        <v>راسب</v>
      </c>
      <c r="M44" s="28"/>
      <c r="N44" s="28"/>
    </row>
    <row r="45" spans="1:14" ht="36" x14ac:dyDescent="0.2">
      <c r="A45" s="30">
        <v>41</v>
      </c>
      <c r="B45" s="22" t="s">
        <v>128</v>
      </c>
      <c r="C45" s="23">
        <v>5</v>
      </c>
      <c r="D45" s="23">
        <v>10</v>
      </c>
      <c r="E45" s="23">
        <v>8</v>
      </c>
      <c r="F45" s="24">
        <v>70</v>
      </c>
      <c r="G45" s="19">
        <f t="shared" si="6"/>
        <v>93</v>
      </c>
      <c r="H45" s="20" t="str">
        <f t="shared" si="1"/>
        <v>مقبول</v>
      </c>
      <c r="I45" s="20" t="str">
        <f t="shared" si="2"/>
        <v>ممتاز</v>
      </c>
      <c r="J45" s="20" t="str">
        <f t="shared" si="3"/>
        <v>جيد جداً</v>
      </c>
      <c r="K45" s="20" t="str">
        <f t="shared" si="4"/>
        <v>ممتاز</v>
      </c>
      <c r="L45" s="21" t="str">
        <f t="shared" si="5"/>
        <v>ممتاز</v>
      </c>
      <c r="M45" s="28"/>
      <c r="N45" s="28"/>
    </row>
    <row r="46" spans="1:14" ht="36" x14ac:dyDescent="0.2">
      <c r="A46" s="30">
        <v>42</v>
      </c>
      <c r="B46" s="22" t="s">
        <v>129</v>
      </c>
      <c r="C46" s="23">
        <v>5</v>
      </c>
      <c r="D46" s="23">
        <v>10</v>
      </c>
      <c r="E46" s="23">
        <v>5</v>
      </c>
      <c r="F46" s="24">
        <v>45</v>
      </c>
      <c r="G46" s="19">
        <f t="shared" si="6"/>
        <v>65</v>
      </c>
      <c r="H46" s="20" t="str">
        <f t="shared" si="1"/>
        <v>مقبول</v>
      </c>
      <c r="I46" s="20" t="str">
        <f t="shared" si="2"/>
        <v>ممتاز</v>
      </c>
      <c r="J46" s="20" t="str">
        <f t="shared" si="3"/>
        <v>مقبول</v>
      </c>
      <c r="K46" s="20" t="str">
        <f t="shared" si="4"/>
        <v>جيد</v>
      </c>
      <c r="L46" s="21" t="str">
        <f t="shared" si="5"/>
        <v>جيد</v>
      </c>
      <c r="M46" s="28"/>
      <c r="N46" s="28"/>
    </row>
    <row r="47" spans="1:14" ht="36" x14ac:dyDescent="0.2">
      <c r="A47" s="30">
        <v>43</v>
      </c>
      <c r="B47" s="22" t="s">
        <v>130</v>
      </c>
      <c r="C47" s="23">
        <v>6</v>
      </c>
      <c r="D47" s="23">
        <v>8</v>
      </c>
      <c r="E47" s="23">
        <v>5</v>
      </c>
      <c r="F47" s="24">
        <v>60</v>
      </c>
      <c r="G47" s="19">
        <f t="shared" si="6"/>
        <v>79</v>
      </c>
      <c r="H47" s="20" t="str">
        <f t="shared" si="1"/>
        <v>جيد</v>
      </c>
      <c r="I47" s="20" t="str">
        <f t="shared" si="2"/>
        <v>جيد جداً</v>
      </c>
      <c r="J47" s="20" t="str">
        <f t="shared" si="3"/>
        <v>مقبول</v>
      </c>
      <c r="K47" s="20" t="str">
        <f t="shared" si="4"/>
        <v>ممتاز</v>
      </c>
      <c r="L47" s="21" t="str">
        <f t="shared" si="5"/>
        <v>جيد</v>
      </c>
      <c r="M47" s="28"/>
      <c r="N47" s="28"/>
    </row>
    <row r="48" spans="1:14" ht="36" x14ac:dyDescent="0.2">
      <c r="A48" s="30">
        <v>44</v>
      </c>
      <c r="B48" s="22" t="s">
        <v>131</v>
      </c>
      <c r="C48" s="23">
        <v>8</v>
      </c>
      <c r="D48" s="23">
        <v>10</v>
      </c>
      <c r="E48" s="23">
        <v>10</v>
      </c>
      <c r="F48" s="24">
        <v>70</v>
      </c>
      <c r="G48" s="19">
        <f t="shared" si="6"/>
        <v>98</v>
      </c>
      <c r="H48" s="20" t="str">
        <f t="shared" si="1"/>
        <v>جيد جداً</v>
      </c>
      <c r="I48" s="20" t="str">
        <f t="shared" si="2"/>
        <v>ممتاز</v>
      </c>
      <c r="J48" s="20" t="str">
        <f t="shared" si="3"/>
        <v>ممتاز</v>
      </c>
      <c r="K48" s="20" t="str">
        <f t="shared" si="4"/>
        <v>ممتاز</v>
      </c>
      <c r="L48" s="21" t="str">
        <f t="shared" si="5"/>
        <v>ممتاز</v>
      </c>
      <c r="M48" s="28"/>
      <c r="N48" s="28"/>
    </row>
    <row r="49" spans="1:14" ht="36" x14ac:dyDescent="0.2">
      <c r="A49" s="30">
        <v>45</v>
      </c>
      <c r="B49" s="22" t="s">
        <v>132</v>
      </c>
      <c r="C49" s="23">
        <v>5</v>
      </c>
      <c r="D49" s="23">
        <v>6</v>
      </c>
      <c r="E49" s="23">
        <v>5</v>
      </c>
      <c r="F49" s="24">
        <v>65</v>
      </c>
      <c r="G49" s="19">
        <f t="shared" si="6"/>
        <v>81</v>
      </c>
      <c r="H49" s="20" t="str">
        <f t="shared" si="1"/>
        <v>مقبول</v>
      </c>
      <c r="I49" s="20" t="str">
        <f t="shared" si="2"/>
        <v>جيد</v>
      </c>
      <c r="J49" s="20" t="str">
        <f t="shared" si="3"/>
        <v>مقبول</v>
      </c>
      <c r="K49" s="20" t="str">
        <f t="shared" si="4"/>
        <v>ممتاز</v>
      </c>
      <c r="L49" s="21" t="str">
        <f t="shared" si="5"/>
        <v>جيد جداً</v>
      </c>
      <c r="M49" s="28"/>
      <c r="N49" s="28"/>
    </row>
    <row r="50" spans="1:14" ht="36" x14ac:dyDescent="0.2">
      <c r="A50" s="30">
        <v>46</v>
      </c>
      <c r="B50" s="22" t="s">
        <v>133</v>
      </c>
      <c r="C50" s="23">
        <v>5</v>
      </c>
      <c r="D50" s="23">
        <v>5</v>
      </c>
      <c r="E50" s="23">
        <v>5</v>
      </c>
      <c r="F50" s="24">
        <v>45</v>
      </c>
      <c r="G50" s="19">
        <f t="shared" si="6"/>
        <v>60</v>
      </c>
      <c r="H50" s="20" t="str">
        <f t="shared" si="1"/>
        <v>مقبول</v>
      </c>
      <c r="I50" s="20" t="str">
        <f t="shared" si="2"/>
        <v>مقبول</v>
      </c>
      <c r="J50" s="20" t="str">
        <f t="shared" si="3"/>
        <v>مقبول</v>
      </c>
      <c r="K50" s="20" t="str">
        <f t="shared" si="4"/>
        <v>جيد</v>
      </c>
      <c r="L50" s="21" t="str">
        <f t="shared" si="5"/>
        <v>جيد</v>
      </c>
      <c r="M50" s="28"/>
      <c r="N50" s="28"/>
    </row>
    <row r="51" spans="1:14" ht="36" x14ac:dyDescent="0.2">
      <c r="A51" s="30">
        <v>47</v>
      </c>
      <c r="B51" s="22" t="s">
        <v>134</v>
      </c>
      <c r="C51" s="23">
        <v>6</v>
      </c>
      <c r="D51" s="23">
        <v>10</v>
      </c>
      <c r="E51" s="23">
        <v>6</v>
      </c>
      <c r="F51" s="24">
        <v>70</v>
      </c>
      <c r="G51" s="19">
        <f t="shared" si="6"/>
        <v>92</v>
      </c>
      <c r="H51" s="20" t="str">
        <f t="shared" si="1"/>
        <v>جيد</v>
      </c>
      <c r="I51" s="20" t="str">
        <f t="shared" si="2"/>
        <v>ممتاز</v>
      </c>
      <c r="J51" s="20" t="str">
        <f t="shared" si="3"/>
        <v>جيد</v>
      </c>
      <c r="K51" s="20" t="str">
        <f t="shared" si="4"/>
        <v>ممتاز</v>
      </c>
      <c r="L51" s="21" t="str">
        <f t="shared" si="5"/>
        <v>ممتاز</v>
      </c>
      <c r="M51" s="28"/>
      <c r="N51" s="28"/>
    </row>
    <row r="52" spans="1:14" ht="36" x14ac:dyDescent="0.2">
      <c r="A52" s="30">
        <v>48</v>
      </c>
      <c r="B52" s="22" t="s">
        <v>135</v>
      </c>
      <c r="C52" s="23">
        <v>5</v>
      </c>
      <c r="D52" s="23">
        <v>10</v>
      </c>
      <c r="E52" s="23">
        <v>5</v>
      </c>
      <c r="F52" s="24">
        <v>70</v>
      </c>
      <c r="G52" s="19">
        <f t="shared" si="6"/>
        <v>90</v>
      </c>
      <c r="H52" s="20" t="str">
        <f t="shared" si="1"/>
        <v>مقبول</v>
      </c>
      <c r="I52" s="20" t="str">
        <f t="shared" si="2"/>
        <v>ممتاز</v>
      </c>
      <c r="J52" s="20" t="str">
        <f t="shared" si="3"/>
        <v>مقبول</v>
      </c>
      <c r="K52" s="20" t="str">
        <f t="shared" si="4"/>
        <v>ممتاز</v>
      </c>
      <c r="L52" s="21" t="str">
        <f t="shared" si="5"/>
        <v>ممتاز</v>
      </c>
      <c r="M52" s="28"/>
      <c r="N52" s="28"/>
    </row>
    <row r="53" spans="1:14" ht="36" x14ac:dyDescent="0.2">
      <c r="A53" s="30">
        <v>49</v>
      </c>
      <c r="B53" s="22" t="s">
        <v>136</v>
      </c>
      <c r="C53" s="23">
        <v>5</v>
      </c>
      <c r="D53" s="23">
        <v>5</v>
      </c>
      <c r="E53" s="23">
        <v>5</v>
      </c>
      <c r="F53" s="24">
        <v>68</v>
      </c>
      <c r="G53" s="19">
        <f t="shared" si="6"/>
        <v>83</v>
      </c>
      <c r="H53" s="20" t="str">
        <f t="shared" si="1"/>
        <v>مقبول</v>
      </c>
      <c r="I53" s="20" t="str">
        <f t="shared" si="2"/>
        <v>مقبول</v>
      </c>
      <c r="J53" s="20" t="str">
        <f t="shared" si="3"/>
        <v>مقبول</v>
      </c>
      <c r="K53" s="20" t="str">
        <f t="shared" si="4"/>
        <v>ممتاز</v>
      </c>
      <c r="L53" s="21" t="str">
        <f t="shared" si="5"/>
        <v>جيد جداً</v>
      </c>
      <c r="M53" s="28"/>
      <c r="N53" s="28"/>
    </row>
    <row r="54" spans="1:14" ht="36" x14ac:dyDescent="0.2">
      <c r="A54" s="30">
        <v>50</v>
      </c>
      <c r="B54" s="22" t="s">
        <v>94</v>
      </c>
      <c r="C54" s="23">
        <v>10</v>
      </c>
      <c r="D54" s="23">
        <v>10</v>
      </c>
      <c r="E54" s="23">
        <v>10</v>
      </c>
      <c r="F54" s="24">
        <v>70</v>
      </c>
      <c r="G54" s="19">
        <f t="shared" si="6"/>
        <v>100</v>
      </c>
      <c r="H54" s="20" t="str">
        <f t="shared" si="1"/>
        <v>ممتاز</v>
      </c>
      <c r="I54" s="20" t="str">
        <f t="shared" si="2"/>
        <v>ممتاز</v>
      </c>
      <c r="J54" s="20" t="str">
        <f t="shared" si="3"/>
        <v>ممتاز</v>
      </c>
      <c r="K54" s="20" t="str">
        <f t="shared" si="4"/>
        <v>ممتاز</v>
      </c>
      <c r="L54" s="21" t="str">
        <f t="shared" si="5"/>
        <v>ممتاز</v>
      </c>
      <c r="M54" s="28"/>
      <c r="N54" s="28"/>
    </row>
    <row r="55" spans="1:14" ht="36" x14ac:dyDescent="0.2">
      <c r="A55" s="30">
        <v>51</v>
      </c>
      <c r="B55" s="22" t="s">
        <v>137</v>
      </c>
      <c r="C55" s="23">
        <v>0</v>
      </c>
      <c r="D55" s="23">
        <v>0</v>
      </c>
      <c r="E55" s="23">
        <v>0</v>
      </c>
      <c r="F55" s="24">
        <v>0</v>
      </c>
      <c r="G55" s="19">
        <f t="shared" si="6"/>
        <v>0</v>
      </c>
      <c r="H55" s="20" t="str">
        <f t="shared" si="1"/>
        <v>يُعاد</v>
      </c>
      <c r="I55" s="20" t="str">
        <f t="shared" si="2"/>
        <v>يُعاد</v>
      </c>
      <c r="J55" s="20" t="str">
        <f t="shared" si="3"/>
        <v>يُعاد</v>
      </c>
      <c r="K55" s="20" t="str">
        <f t="shared" si="4"/>
        <v>يُعاد</v>
      </c>
      <c r="L55" s="21" t="str">
        <f t="shared" si="5"/>
        <v>راسب</v>
      </c>
      <c r="M55" s="28"/>
      <c r="N55" s="28"/>
    </row>
    <row r="56" spans="1:14" ht="36" x14ac:dyDescent="0.2">
      <c r="A56" s="30">
        <v>52</v>
      </c>
      <c r="B56" s="22" t="s">
        <v>138</v>
      </c>
      <c r="C56" s="23">
        <v>10</v>
      </c>
      <c r="D56" s="23">
        <v>10</v>
      </c>
      <c r="E56" s="23">
        <v>5</v>
      </c>
      <c r="F56" s="24">
        <v>70</v>
      </c>
      <c r="G56" s="19">
        <f t="shared" si="6"/>
        <v>95</v>
      </c>
      <c r="H56" s="20" t="str">
        <f t="shared" si="1"/>
        <v>ممتاز</v>
      </c>
      <c r="I56" s="20" t="str">
        <f t="shared" si="2"/>
        <v>ممتاز</v>
      </c>
      <c r="J56" s="20" t="str">
        <f t="shared" si="3"/>
        <v>مقبول</v>
      </c>
      <c r="K56" s="20" t="str">
        <f t="shared" si="4"/>
        <v>ممتاز</v>
      </c>
      <c r="L56" s="21" t="str">
        <f t="shared" si="5"/>
        <v>ممتاز</v>
      </c>
      <c r="M56" s="28"/>
      <c r="N56" s="28"/>
    </row>
    <row r="57" spans="1:14" ht="36" x14ac:dyDescent="0.2">
      <c r="A57" s="30">
        <v>53</v>
      </c>
      <c r="B57" s="22" t="s">
        <v>139</v>
      </c>
      <c r="C57" s="23">
        <v>0</v>
      </c>
      <c r="D57" s="23">
        <v>0</v>
      </c>
      <c r="E57" s="23">
        <v>0</v>
      </c>
      <c r="F57" s="24">
        <v>0</v>
      </c>
      <c r="G57" s="19">
        <f t="shared" si="6"/>
        <v>0</v>
      </c>
      <c r="H57" s="20" t="str">
        <f t="shared" si="1"/>
        <v>يُعاد</v>
      </c>
      <c r="I57" s="20" t="str">
        <f t="shared" si="2"/>
        <v>يُعاد</v>
      </c>
      <c r="J57" s="20" t="str">
        <f t="shared" si="3"/>
        <v>يُعاد</v>
      </c>
      <c r="K57" s="20" t="str">
        <f t="shared" si="4"/>
        <v>يُعاد</v>
      </c>
      <c r="L57" s="21" t="str">
        <f t="shared" si="5"/>
        <v>راسب</v>
      </c>
      <c r="M57" s="28"/>
      <c r="N57" s="28"/>
    </row>
    <row r="58" spans="1:14" ht="36" x14ac:dyDescent="0.2">
      <c r="A58" s="30">
        <v>54</v>
      </c>
      <c r="B58" s="22" t="s">
        <v>140</v>
      </c>
      <c r="C58" s="23">
        <v>5</v>
      </c>
      <c r="D58" s="23">
        <v>8</v>
      </c>
      <c r="E58" s="23">
        <v>5</v>
      </c>
      <c r="F58" s="24">
        <v>70</v>
      </c>
      <c r="G58" s="19">
        <f t="shared" si="6"/>
        <v>88</v>
      </c>
      <c r="H58" s="20" t="str">
        <f t="shared" si="1"/>
        <v>مقبول</v>
      </c>
      <c r="I58" s="20" t="str">
        <f t="shared" si="2"/>
        <v>جيد جداً</v>
      </c>
      <c r="J58" s="20" t="str">
        <f t="shared" si="3"/>
        <v>مقبول</v>
      </c>
      <c r="K58" s="20" t="str">
        <f t="shared" si="4"/>
        <v>ممتاز</v>
      </c>
      <c r="L58" s="21" t="str">
        <f t="shared" si="5"/>
        <v>جيد جداً</v>
      </c>
      <c r="M58" s="28"/>
      <c r="N58" s="28"/>
    </row>
    <row r="59" spans="1:14" ht="36" x14ac:dyDescent="0.2">
      <c r="A59" s="30">
        <v>55</v>
      </c>
      <c r="B59" s="22" t="s">
        <v>141</v>
      </c>
      <c r="C59" s="23">
        <v>0</v>
      </c>
      <c r="D59" s="23">
        <v>0</v>
      </c>
      <c r="E59" s="23">
        <v>0</v>
      </c>
      <c r="F59" s="24">
        <v>0</v>
      </c>
      <c r="G59" s="19">
        <f t="shared" si="6"/>
        <v>0</v>
      </c>
      <c r="H59" s="20" t="str">
        <f t="shared" si="1"/>
        <v>يُعاد</v>
      </c>
      <c r="I59" s="20" t="str">
        <f t="shared" si="2"/>
        <v>يُعاد</v>
      </c>
      <c r="J59" s="20" t="str">
        <f t="shared" si="3"/>
        <v>يُعاد</v>
      </c>
      <c r="K59" s="20" t="str">
        <f t="shared" si="4"/>
        <v>يُعاد</v>
      </c>
      <c r="L59" s="21" t="str">
        <f t="shared" si="5"/>
        <v>راسب</v>
      </c>
      <c r="M59" s="28"/>
      <c r="N59" s="28"/>
    </row>
    <row r="60" spans="1:14" ht="36" x14ac:dyDescent="0.2">
      <c r="A60" s="30">
        <v>56</v>
      </c>
      <c r="B60" s="22" t="s">
        <v>142</v>
      </c>
      <c r="C60" s="23">
        <v>5</v>
      </c>
      <c r="D60" s="23">
        <v>5</v>
      </c>
      <c r="E60" s="23">
        <v>5</v>
      </c>
      <c r="F60" s="24">
        <v>48</v>
      </c>
      <c r="G60" s="19">
        <f t="shared" si="6"/>
        <v>63</v>
      </c>
      <c r="H60" s="20" t="str">
        <f t="shared" si="1"/>
        <v>مقبول</v>
      </c>
      <c r="I60" s="20" t="str">
        <f t="shared" si="2"/>
        <v>مقبول</v>
      </c>
      <c r="J60" s="20" t="str">
        <f t="shared" si="3"/>
        <v>مقبول</v>
      </c>
      <c r="K60" s="20" t="str">
        <f t="shared" si="4"/>
        <v>جيد</v>
      </c>
      <c r="L60" s="21" t="str">
        <f t="shared" si="5"/>
        <v>جيد</v>
      </c>
      <c r="M60" s="28"/>
      <c r="N60" s="28"/>
    </row>
    <row r="61" spans="1:14" ht="36" x14ac:dyDescent="0.2">
      <c r="A61" s="30">
        <v>57</v>
      </c>
      <c r="B61" s="22" t="s">
        <v>143</v>
      </c>
      <c r="C61" s="23">
        <v>0</v>
      </c>
      <c r="D61" s="23">
        <v>0</v>
      </c>
      <c r="E61" s="23">
        <v>0</v>
      </c>
      <c r="F61" s="24">
        <v>0</v>
      </c>
      <c r="G61" s="19">
        <f t="shared" si="6"/>
        <v>0</v>
      </c>
      <c r="H61" s="20" t="str">
        <f t="shared" si="1"/>
        <v>يُعاد</v>
      </c>
      <c r="I61" s="20" t="str">
        <f t="shared" si="2"/>
        <v>يُعاد</v>
      </c>
      <c r="J61" s="20" t="str">
        <f t="shared" si="3"/>
        <v>يُعاد</v>
      </c>
      <c r="K61" s="20" t="str">
        <f t="shared" si="4"/>
        <v>يُعاد</v>
      </c>
      <c r="L61" s="21" t="str">
        <f t="shared" si="5"/>
        <v>راسب</v>
      </c>
      <c r="M61" s="28"/>
      <c r="N61" s="28"/>
    </row>
    <row r="62" spans="1:14" ht="36" x14ac:dyDescent="0.2">
      <c r="A62" s="30">
        <v>58</v>
      </c>
      <c r="B62" s="22" t="s">
        <v>144</v>
      </c>
      <c r="C62" s="23">
        <v>0</v>
      </c>
      <c r="D62" s="23">
        <v>0</v>
      </c>
      <c r="E62" s="23">
        <v>0</v>
      </c>
      <c r="F62" s="24">
        <v>0</v>
      </c>
      <c r="G62" s="19">
        <f t="shared" si="6"/>
        <v>0</v>
      </c>
      <c r="H62" s="20" t="str">
        <f t="shared" si="1"/>
        <v>يُعاد</v>
      </c>
      <c r="I62" s="20" t="str">
        <f t="shared" si="2"/>
        <v>يُعاد</v>
      </c>
      <c r="J62" s="20" t="str">
        <f t="shared" si="3"/>
        <v>يُعاد</v>
      </c>
      <c r="K62" s="20" t="str">
        <f t="shared" si="4"/>
        <v>يُعاد</v>
      </c>
      <c r="L62" s="21" t="str">
        <f t="shared" si="5"/>
        <v>راسب</v>
      </c>
      <c r="M62" s="28"/>
      <c r="N62" s="28"/>
    </row>
    <row r="63" spans="1:14" ht="36" x14ac:dyDescent="0.2">
      <c r="A63" s="30">
        <v>59</v>
      </c>
      <c r="B63" s="22" t="s">
        <v>145</v>
      </c>
      <c r="C63" s="23">
        <v>0</v>
      </c>
      <c r="D63" s="23">
        <v>0</v>
      </c>
      <c r="E63" s="23">
        <v>0</v>
      </c>
      <c r="F63" s="24">
        <v>0</v>
      </c>
      <c r="G63" s="19">
        <f t="shared" si="6"/>
        <v>0</v>
      </c>
      <c r="H63" s="20" t="str">
        <f t="shared" si="1"/>
        <v>يُعاد</v>
      </c>
      <c r="I63" s="20" t="str">
        <f t="shared" si="2"/>
        <v>يُعاد</v>
      </c>
      <c r="J63" s="20" t="str">
        <f t="shared" si="3"/>
        <v>يُعاد</v>
      </c>
      <c r="K63" s="20" t="str">
        <f t="shared" si="4"/>
        <v>يُعاد</v>
      </c>
      <c r="L63" s="21" t="str">
        <f t="shared" si="5"/>
        <v>راسب</v>
      </c>
      <c r="M63" s="28"/>
      <c r="N63" s="28"/>
    </row>
    <row r="64" spans="1:14" ht="36" x14ac:dyDescent="0.2">
      <c r="A64" s="30">
        <v>60</v>
      </c>
      <c r="B64" s="22" t="s">
        <v>146</v>
      </c>
      <c r="C64" s="23">
        <v>0</v>
      </c>
      <c r="D64" s="23">
        <v>0</v>
      </c>
      <c r="E64" s="23">
        <v>0</v>
      </c>
      <c r="F64" s="24">
        <v>0</v>
      </c>
      <c r="G64" s="19">
        <f t="shared" si="6"/>
        <v>0</v>
      </c>
      <c r="H64" s="20" t="str">
        <f t="shared" si="1"/>
        <v>يُعاد</v>
      </c>
      <c r="I64" s="20" t="str">
        <f t="shared" si="2"/>
        <v>يُعاد</v>
      </c>
      <c r="J64" s="20" t="str">
        <f t="shared" si="3"/>
        <v>يُعاد</v>
      </c>
      <c r="K64" s="20" t="str">
        <f t="shared" si="4"/>
        <v>يُعاد</v>
      </c>
      <c r="L64" s="21" t="str">
        <f t="shared" si="5"/>
        <v>راسب</v>
      </c>
      <c r="M64" s="28"/>
      <c r="N64" s="28"/>
    </row>
    <row r="65" spans="1:14" ht="36" x14ac:dyDescent="0.2">
      <c r="A65" s="30">
        <v>61</v>
      </c>
      <c r="B65" s="22" t="s">
        <v>392</v>
      </c>
      <c r="C65" s="23">
        <v>6</v>
      </c>
      <c r="D65" s="23">
        <v>8</v>
      </c>
      <c r="E65" s="23">
        <v>5</v>
      </c>
      <c r="F65" s="24">
        <v>63</v>
      </c>
      <c r="G65" s="19">
        <f t="shared" si="6"/>
        <v>82</v>
      </c>
      <c r="H65" s="20" t="str">
        <f t="shared" si="1"/>
        <v>جيد</v>
      </c>
      <c r="I65" s="20" t="str">
        <f t="shared" si="2"/>
        <v>جيد جداً</v>
      </c>
      <c r="J65" s="20" t="str">
        <f t="shared" si="3"/>
        <v>مقبول</v>
      </c>
      <c r="K65" s="20" t="str">
        <f t="shared" si="4"/>
        <v>ممتاز</v>
      </c>
      <c r="L65" s="21" t="str">
        <f t="shared" si="5"/>
        <v>جيد جداً</v>
      </c>
      <c r="M65" s="28"/>
      <c r="N65" s="28"/>
    </row>
    <row r="66" spans="1:14" ht="36" x14ac:dyDescent="0.2">
      <c r="A66" s="30">
        <v>62</v>
      </c>
      <c r="B66" s="22" t="s">
        <v>147</v>
      </c>
      <c r="C66" s="23">
        <v>0</v>
      </c>
      <c r="D66" s="23">
        <v>0</v>
      </c>
      <c r="E66" s="23">
        <v>0</v>
      </c>
      <c r="F66" s="24">
        <v>0</v>
      </c>
      <c r="G66" s="19">
        <f t="shared" si="6"/>
        <v>0</v>
      </c>
      <c r="H66" s="20" t="str">
        <f t="shared" si="1"/>
        <v>يُعاد</v>
      </c>
      <c r="I66" s="20" t="str">
        <f t="shared" si="2"/>
        <v>يُعاد</v>
      </c>
      <c r="J66" s="20" t="str">
        <f t="shared" si="3"/>
        <v>يُعاد</v>
      </c>
      <c r="K66" s="20" t="str">
        <f t="shared" si="4"/>
        <v>يُعاد</v>
      </c>
      <c r="L66" s="21" t="str">
        <f t="shared" si="5"/>
        <v>راسب</v>
      </c>
      <c r="M66" s="28"/>
      <c r="N66" s="28"/>
    </row>
    <row r="67" spans="1:14" ht="36" x14ac:dyDescent="0.2">
      <c r="A67" s="30">
        <v>63</v>
      </c>
      <c r="B67" s="22" t="s">
        <v>148</v>
      </c>
      <c r="C67" s="23">
        <v>0</v>
      </c>
      <c r="D67" s="23">
        <v>0</v>
      </c>
      <c r="E67" s="23">
        <v>0</v>
      </c>
      <c r="F67" s="24">
        <v>70</v>
      </c>
      <c r="G67" s="19">
        <f t="shared" si="6"/>
        <v>70</v>
      </c>
      <c r="H67" s="20" t="str">
        <f t="shared" si="1"/>
        <v>يُعاد</v>
      </c>
      <c r="I67" s="20" t="str">
        <f t="shared" si="2"/>
        <v>يُعاد</v>
      </c>
      <c r="J67" s="20" t="str">
        <f t="shared" si="3"/>
        <v>يُعاد</v>
      </c>
      <c r="K67" s="20" t="str">
        <f t="shared" si="4"/>
        <v>ممتاز</v>
      </c>
      <c r="L67" s="21" t="str">
        <f t="shared" si="5"/>
        <v>جيد</v>
      </c>
      <c r="M67" s="28"/>
      <c r="N67" s="28"/>
    </row>
    <row r="68" spans="1:14" ht="36" x14ac:dyDescent="0.2">
      <c r="A68" s="30">
        <v>64</v>
      </c>
      <c r="B68" s="22" t="s">
        <v>149</v>
      </c>
      <c r="C68" s="23">
        <v>0</v>
      </c>
      <c r="D68" s="23">
        <v>0</v>
      </c>
      <c r="E68" s="23">
        <v>0</v>
      </c>
      <c r="F68" s="24">
        <v>0</v>
      </c>
      <c r="G68" s="19">
        <f t="shared" si="6"/>
        <v>0</v>
      </c>
      <c r="H68" s="20" t="str">
        <f t="shared" si="1"/>
        <v>يُعاد</v>
      </c>
      <c r="I68" s="20" t="str">
        <f t="shared" si="2"/>
        <v>يُعاد</v>
      </c>
      <c r="J68" s="20" t="str">
        <f t="shared" si="3"/>
        <v>يُعاد</v>
      </c>
      <c r="K68" s="20" t="str">
        <f t="shared" si="4"/>
        <v>يُعاد</v>
      </c>
      <c r="L68" s="21" t="str">
        <f t="shared" si="5"/>
        <v>راسب</v>
      </c>
      <c r="M68" s="28"/>
      <c r="N68" s="28"/>
    </row>
    <row r="69" spans="1:14" ht="36.75" thickBot="1" x14ac:dyDescent="0.25">
      <c r="A69" s="31">
        <v>65</v>
      </c>
      <c r="B69" s="25" t="s">
        <v>150</v>
      </c>
      <c r="C69" s="26">
        <v>0</v>
      </c>
      <c r="D69" s="26">
        <v>0</v>
      </c>
      <c r="E69" s="26">
        <v>0</v>
      </c>
      <c r="F69" s="24">
        <v>0</v>
      </c>
      <c r="G69" s="27">
        <f t="shared" si="6"/>
        <v>0</v>
      </c>
      <c r="H69" s="20" t="str">
        <f t="shared" si="1"/>
        <v>يُعاد</v>
      </c>
      <c r="I69" s="20" t="str">
        <f t="shared" si="2"/>
        <v>يُعاد</v>
      </c>
      <c r="J69" s="20" t="str">
        <f t="shared" si="3"/>
        <v>يُعاد</v>
      </c>
      <c r="K69" s="20" t="str">
        <f t="shared" si="4"/>
        <v>يُعاد</v>
      </c>
      <c r="L69" s="21" t="str">
        <f t="shared" si="5"/>
        <v>راسب</v>
      </c>
      <c r="M69" s="28"/>
      <c r="N69" s="28"/>
    </row>
  </sheetData>
  <autoFilter ref="A5:E69"/>
  <sortState ref="B5:B74">
    <sortCondition ref="B74"/>
  </sortState>
  <mergeCells count="6">
    <mergeCell ref="A1:L1"/>
    <mergeCell ref="A2:L2"/>
    <mergeCell ref="A3:A4"/>
    <mergeCell ref="B3:B4"/>
    <mergeCell ref="L3:L4"/>
    <mergeCell ref="G3:G4"/>
  </mergeCells>
  <pageMargins left="0.25" right="0.25" top="0.75" bottom="0.7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rightToLeft="1" tabSelected="1" workbookViewId="0">
      <selection activeCell="O5" sqref="O5"/>
    </sheetView>
  </sheetViews>
  <sheetFormatPr defaultRowHeight="14.25" x14ac:dyDescent="0.2"/>
  <cols>
    <col min="2" max="2" width="24" customWidth="1"/>
    <col min="7" max="7" width="9" customWidth="1"/>
    <col min="8" max="8" width="18.5" bestFit="1" customWidth="1"/>
  </cols>
  <sheetData>
    <row r="1" spans="1:12" ht="23.25" x14ac:dyDescent="0.35">
      <c r="D1" s="32" t="s">
        <v>406</v>
      </c>
      <c r="E1" s="32"/>
      <c r="F1" s="32"/>
    </row>
    <row r="2" spans="1:12" ht="15" thickBot="1" x14ac:dyDescent="0.25"/>
    <row r="3" spans="1:12" ht="32.25" thickBot="1" x14ac:dyDescent="0.25">
      <c r="A3" s="40" t="s">
        <v>0</v>
      </c>
      <c r="B3" s="57" t="s">
        <v>1</v>
      </c>
      <c r="C3" s="50" t="s">
        <v>395</v>
      </c>
      <c r="D3" s="50" t="s">
        <v>396</v>
      </c>
      <c r="E3" s="50" t="s">
        <v>397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19.5" customHeight="1" thickBot="1" x14ac:dyDescent="0.25">
      <c r="A4" s="41"/>
      <c r="B4" s="58"/>
      <c r="C4" s="50" t="s">
        <v>382</v>
      </c>
      <c r="D4" s="50" t="s">
        <v>382</v>
      </c>
      <c r="E4" s="50" t="s">
        <v>382</v>
      </c>
      <c r="F4" s="54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59" t="s">
        <v>13</v>
      </c>
      <c r="C5" s="51">
        <v>10</v>
      </c>
      <c r="D5" s="51">
        <v>10</v>
      </c>
      <c r="E5" s="53">
        <v>10</v>
      </c>
      <c r="F5" s="55">
        <v>7</v>
      </c>
      <c r="G5" s="9">
        <f t="shared" ref="G5:G66" si="0">SUM(C5:F5)</f>
        <v>37</v>
      </c>
      <c r="H5" s="10" t="str">
        <f>IF(C5&gt;=8.6,"ممتاز",IF(C5&gt;=7.5,"جيد جداً",IF(C5&gt;=6.5,"جيد",IF(C5&gt;=5,"مقبول","يُعاد"))))</f>
        <v>ممتاز</v>
      </c>
      <c r="I5" s="10" t="str">
        <f>IF(D5&gt;=8.6,"ممتاز",IF(D5&gt;=7.6,"جيد جداً",IF(D5&gt;=6.6,"جيد",IF(D5&gt;=5,"مقبول","يُعاد"))))</f>
        <v>ممتاز</v>
      </c>
      <c r="J5" s="10" t="str">
        <f>IF(E5&gt;=8.6,"ممتاز",IF(E5&gt;=7.6,"جيد جداً",IF(E5&gt;=6.6,"جيد",IF(E5&gt;=5,"مقبول","يُعاد"))))</f>
        <v>ممتاز</v>
      </c>
      <c r="K5" s="10" t="str">
        <f>IF(F5&gt;=8.6,"ممتاز",IF(F5&gt;=7.6,"جيد جداً",IF(F5&gt;=6.6,"جيد",IF(F5&gt;=5,"مقبول","يُعاد"))))</f>
        <v>جيد</v>
      </c>
      <c r="L5" s="11" t="str">
        <f>IF(G5&gt;=35,"ممتاز",IF(G5&gt;=31,"جيد جداً",IF(G5&gt;=26,"جيد",IF(G5&gt;=20,"مقبول","-"))))</f>
        <v>ممتاز</v>
      </c>
    </row>
    <row r="6" spans="1:12" ht="31.5" x14ac:dyDescent="0.2">
      <c r="A6" s="4">
        <v>2</v>
      </c>
      <c r="B6" s="48" t="s">
        <v>97</v>
      </c>
      <c r="C6" s="52">
        <v>6</v>
      </c>
      <c r="D6" s="52">
        <v>10</v>
      </c>
      <c r="E6" s="52">
        <v>5</v>
      </c>
      <c r="F6" s="56">
        <v>5.3</v>
      </c>
      <c r="G6" s="9">
        <f t="shared" si="0"/>
        <v>26.3</v>
      </c>
      <c r="H6" s="10" t="str">
        <f t="shared" ref="H6:K31" si="1">IF(C6&gt;=8.6,"ممتاز",IF(C6&gt;=7.6,"جيد جداً",IF(C6&gt;=6.6,"جيد",IF(C6&gt;=5,"مقبول","يُعاد"))))</f>
        <v>مقبول</v>
      </c>
      <c r="I6" s="10" t="str">
        <f t="shared" si="1"/>
        <v>ممتاز</v>
      </c>
      <c r="J6" s="10" t="str">
        <f t="shared" si="1"/>
        <v>مقبول</v>
      </c>
      <c r="K6" s="10" t="str">
        <f t="shared" si="1"/>
        <v>مقبول</v>
      </c>
      <c r="L6" s="11" t="str">
        <f t="shared" ref="L6:L66" si="2">IF(G6&gt;=35,"ممتاز",IF(G6&gt;=31,"جيد جداً",IF(G6&gt;=26,"جيد",IF(G6&gt;=20,"مقبول","-"))))</f>
        <v>جيد</v>
      </c>
    </row>
    <row r="7" spans="1:12" ht="31.5" x14ac:dyDescent="0.2">
      <c r="A7" s="4">
        <v>3</v>
      </c>
      <c r="B7" s="48" t="s">
        <v>98</v>
      </c>
      <c r="C7" s="52">
        <v>8</v>
      </c>
      <c r="D7" s="52">
        <v>10</v>
      </c>
      <c r="E7" s="52">
        <v>5</v>
      </c>
      <c r="F7" s="56">
        <v>7</v>
      </c>
      <c r="G7" s="9">
        <f t="shared" si="0"/>
        <v>30</v>
      </c>
      <c r="H7" s="10" t="str">
        <f t="shared" si="1"/>
        <v>جيد جداً</v>
      </c>
      <c r="I7" s="10" t="str">
        <f t="shared" si="1"/>
        <v>ممتاز</v>
      </c>
      <c r="J7" s="10" t="str">
        <f t="shared" si="1"/>
        <v>مقبول</v>
      </c>
      <c r="K7" s="10" t="str">
        <f t="shared" si="1"/>
        <v>جيد</v>
      </c>
      <c r="L7" s="11" t="str">
        <f t="shared" si="2"/>
        <v>جيد</v>
      </c>
    </row>
    <row r="8" spans="1:12" ht="31.5" x14ac:dyDescent="0.2">
      <c r="A8" s="4">
        <v>4</v>
      </c>
      <c r="B8" s="48" t="s">
        <v>99</v>
      </c>
      <c r="C8" s="52">
        <v>0</v>
      </c>
      <c r="D8" s="52">
        <v>0</v>
      </c>
      <c r="E8" s="52">
        <v>0</v>
      </c>
      <c r="F8" s="56">
        <v>0</v>
      </c>
      <c r="G8" s="9">
        <f t="shared" si="0"/>
        <v>0</v>
      </c>
      <c r="H8" s="10" t="str">
        <f t="shared" si="1"/>
        <v>يُعاد</v>
      </c>
      <c r="I8" s="10" t="str">
        <f t="shared" si="1"/>
        <v>يُعاد</v>
      </c>
      <c r="J8" s="10" t="str">
        <f t="shared" si="1"/>
        <v>يُعاد</v>
      </c>
      <c r="K8" s="10" t="str">
        <f t="shared" si="1"/>
        <v>يُعاد</v>
      </c>
      <c r="L8" s="11" t="str">
        <f t="shared" si="2"/>
        <v>-</v>
      </c>
    </row>
    <row r="9" spans="1:12" ht="31.5" x14ac:dyDescent="0.2">
      <c r="A9" s="4">
        <v>5</v>
      </c>
      <c r="B9" s="48" t="s">
        <v>23</v>
      </c>
      <c r="C9" s="52">
        <v>8</v>
      </c>
      <c r="D9" s="52">
        <v>10</v>
      </c>
      <c r="E9" s="52">
        <v>5</v>
      </c>
      <c r="F9" s="56">
        <v>7</v>
      </c>
      <c r="G9" s="9">
        <f t="shared" si="0"/>
        <v>30</v>
      </c>
      <c r="H9" s="10" t="str">
        <f t="shared" si="1"/>
        <v>جيد جداً</v>
      </c>
      <c r="I9" s="10" t="str">
        <f t="shared" si="1"/>
        <v>ممتاز</v>
      </c>
      <c r="J9" s="10" t="str">
        <f t="shared" si="1"/>
        <v>مقبول</v>
      </c>
      <c r="K9" s="10" t="str">
        <f t="shared" si="1"/>
        <v>جيد</v>
      </c>
      <c r="L9" s="11" t="str">
        <f t="shared" si="2"/>
        <v>جيد</v>
      </c>
    </row>
    <row r="10" spans="1:12" ht="31.5" x14ac:dyDescent="0.2">
      <c r="A10" s="4">
        <v>6</v>
      </c>
      <c r="B10" s="48" t="s">
        <v>100</v>
      </c>
      <c r="C10" s="52">
        <v>5</v>
      </c>
      <c r="D10" s="52">
        <v>10</v>
      </c>
      <c r="E10" s="52">
        <v>5</v>
      </c>
      <c r="F10" s="56">
        <v>7</v>
      </c>
      <c r="G10" s="9">
        <f t="shared" si="0"/>
        <v>27</v>
      </c>
      <c r="H10" s="10" t="str">
        <f t="shared" si="1"/>
        <v>مقبول</v>
      </c>
      <c r="I10" s="10" t="str">
        <f t="shared" si="1"/>
        <v>ممتاز</v>
      </c>
      <c r="J10" s="10" t="str">
        <f t="shared" si="1"/>
        <v>مقبول</v>
      </c>
      <c r="K10" s="10" t="str">
        <f t="shared" si="1"/>
        <v>جيد</v>
      </c>
      <c r="L10" s="11" t="str">
        <f t="shared" si="2"/>
        <v>جيد</v>
      </c>
    </row>
    <row r="11" spans="1:12" ht="31.5" x14ac:dyDescent="0.2">
      <c r="A11" s="4">
        <v>7</v>
      </c>
      <c r="B11" s="48" t="s">
        <v>101</v>
      </c>
      <c r="C11" s="52">
        <v>5</v>
      </c>
      <c r="D11" s="52">
        <v>6</v>
      </c>
      <c r="E11" s="52">
        <v>6</v>
      </c>
      <c r="F11" s="56">
        <v>4.8</v>
      </c>
      <c r="G11" s="9">
        <f t="shared" si="0"/>
        <v>21.8</v>
      </c>
      <c r="H11" s="10" t="str">
        <f t="shared" si="1"/>
        <v>مقبول</v>
      </c>
      <c r="I11" s="10" t="str">
        <f t="shared" si="1"/>
        <v>مقبول</v>
      </c>
      <c r="J11" s="10" t="str">
        <f t="shared" si="1"/>
        <v>مقبول</v>
      </c>
      <c r="K11" s="10" t="str">
        <f t="shared" si="1"/>
        <v>يُعاد</v>
      </c>
      <c r="L11" s="11" t="str">
        <f t="shared" si="2"/>
        <v>مقبول</v>
      </c>
    </row>
    <row r="12" spans="1:12" ht="31.5" x14ac:dyDescent="0.2">
      <c r="A12" s="4">
        <v>8</v>
      </c>
      <c r="B12" s="48" t="s">
        <v>102</v>
      </c>
      <c r="C12" s="52">
        <v>5</v>
      </c>
      <c r="D12" s="52">
        <v>8</v>
      </c>
      <c r="E12" s="52">
        <v>5</v>
      </c>
      <c r="F12" s="56">
        <v>7</v>
      </c>
      <c r="G12" s="9">
        <f t="shared" si="0"/>
        <v>25</v>
      </c>
      <c r="H12" s="10" t="str">
        <f t="shared" si="1"/>
        <v>مقبول</v>
      </c>
      <c r="I12" s="10" t="str">
        <f t="shared" si="1"/>
        <v>جيد جداً</v>
      </c>
      <c r="J12" s="10" t="str">
        <f t="shared" si="1"/>
        <v>مقبول</v>
      </c>
      <c r="K12" s="10" t="str">
        <f t="shared" si="1"/>
        <v>جيد</v>
      </c>
      <c r="L12" s="11" t="str">
        <f t="shared" si="2"/>
        <v>مقبول</v>
      </c>
    </row>
    <row r="13" spans="1:12" ht="31.5" x14ac:dyDescent="0.2">
      <c r="A13" s="4">
        <v>9</v>
      </c>
      <c r="B13" s="48" t="s">
        <v>103</v>
      </c>
      <c r="C13" s="52">
        <v>6</v>
      </c>
      <c r="D13" s="52">
        <v>10</v>
      </c>
      <c r="E13" s="52">
        <v>6</v>
      </c>
      <c r="F13" s="56">
        <v>6.5</v>
      </c>
      <c r="G13" s="9">
        <f t="shared" si="0"/>
        <v>28.5</v>
      </c>
      <c r="H13" s="10" t="str">
        <f t="shared" si="1"/>
        <v>مقبول</v>
      </c>
      <c r="I13" s="10" t="str">
        <f t="shared" si="1"/>
        <v>ممتاز</v>
      </c>
      <c r="J13" s="10" t="str">
        <f t="shared" si="1"/>
        <v>مقبول</v>
      </c>
      <c r="K13" s="10" t="str">
        <f t="shared" si="1"/>
        <v>مقبول</v>
      </c>
      <c r="L13" s="11" t="str">
        <f t="shared" si="2"/>
        <v>جيد</v>
      </c>
    </row>
    <row r="14" spans="1:12" ht="31.5" x14ac:dyDescent="0.2">
      <c r="A14" s="4">
        <v>10</v>
      </c>
      <c r="B14" s="48" t="s">
        <v>104</v>
      </c>
      <c r="C14" s="52"/>
      <c r="D14" s="52"/>
      <c r="E14" s="52"/>
      <c r="F14" s="56">
        <v>0</v>
      </c>
      <c r="G14" s="9">
        <f t="shared" si="0"/>
        <v>0</v>
      </c>
      <c r="H14" s="10" t="str">
        <f t="shared" si="1"/>
        <v>يُعاد</v>
      </c>
      <c r="I14" s="10" t="str">
        <f t="shared" si="1"/>
        <v>يُعاد</v>
      </c>
      <c r="J14" s="10" t="str">
        <f t="shared" si="1"/>
        <v>يُعاد</v>
      </c>
      <c r="K14" s="10" t="str">
        <f t="shared" si="1"/>
        <v>يُعاد</v>
      </c>
      <c r="L14" s="11" t="str">
        <f t="shared" si="2"/>
        <v>-</v>
      </c>
    </row>
    <row r="15" spans="1:12" ht="31.5" x14ac:dyDescent="0.2">
      <c r="A15" s="4">
        <v>11</v>
      </c>
      <c r="B15" s="48" t="s">
        <v>105</v>
      </c>
      <c r="C15" s="52">
        <v>10</v>
      </c>
      <c r="D15" s="52">
        <v>10</v>
      </c>
      <c r="E15" s="52">
        <v>7</v>
      </c>
      <c r="F15" s="56">
        <v>7</v>
      </c>
      <c r="G15" s="9">
        <f t="shared" si="0"/>
        <v>34</v>
      </c>
      <c r="H15" s="10" t="str">
        <f t="shared" si="1"/>
        <v>ممتاز</v>
      </c>
      <c r="I15" s="10" t="str">
        <f t="shared" si="1"/>
        <v>ممتاز</v>
      </c>
      <c r="J15" s="10" t="str">
        <f t="shared" si="1"/>
        <v>جيد</v>
      </c>
      <c r="K15" s="10" t="str">
        <f t="shared" si="1"/>
        <v>جيد</v>
      </c>
      <c r="L15" s="11" t="str">
        <f t="shared" si="2"/>
        <v>جيد جداً</v>
      </c>
    </row>
    <row r="16" spans="1:12" ht="31.5" x14ac:dyDescent="0.2">
      <c r="A16" s="4">
        <v>12</v>
      </c>
      <c r="B16" s="48" t="s">
        <v>106</v>
      </c>
      <c r="C16" s="52">
        <v>10</v>
      </c>
      <c r="D16" s="52">
        <v>10</v>
      </c>
      <c r="E16" s="52">
        <v>7</v>
      </c>
      <c r="F16" s="56">
        <v>7</v>
      </c>
      <c r="G16" s="9">
        <f t="shared" si="0"/>
        <v>34</v>
      </c>
      <c r="H16" s="10" t="str">
        <f t="shared" si="1"/>
        <v>ممتاز</v>
      </c>
      <c r="I16" s="10" t="str">
        <f t="shared" si="1"/>
        <v>ممتاز</v>
      </c>
      <c r="J16" s="10" t="str">
        <f t="shared" si="1"/>
        <v>جيد</v>
      </c>
      <c r="K16" s="10" t="str">
        <f t="shared" si="1"/>
        <v>جيد</v>
      </c>
      <c r="L16" s="11" t="str">
        <f t="shared" si="2"/>
        <v>جيد جداً</v>
      </c>
    </row>
    <row r="17" spans="1:12" ht="31.5" x14ac:dyDescent="0.2">
      <c r="A17" s="4">
        <v>13</v>
      </c>
      <c r="B17" s="48" t="s">
        <v>20</v>
      </c>
      <c r="C17" s="52">
        <v>5</v>
      </c>
      <c r="D17" s="52">
        <v>8</v>
      </c>
      <c r="E17" s="52">
        <v>5</v>
      </c>
      <c r="F17" s="56">
        <v>4</v>
      </c>
      <c r="G17" s="9">
        <f t="shared" si="0"/>
        <v>22</v>
      </c>
      <c r="H17" s="10" t="str">
        <f t="shared" si="1"/>
        <v>مقبول</v>
      </c>
      <c r="I17" s="10" t="str">
        <f t="shared" si="1"/>
        <v>جيد جداً</v>
      </c>
      <c r="J17" s="10" t="str">
        <f t="shared" si="1"/>
        <v>مقبول</v>
      </c>
      <c r="K17" s="10" t="str">
        <f t="shared" si="1"/>
        <v>يُعاد</v>
      </c>
      <c r="L17" s="11" t="str">
        <f t="shared" si="2"/>
        <v>مقبول</v>
      </c>
    </row>
    <row r="18" spans="1:12" ht="31.5" x14ac:dyDescent="0.2">
      <c r="A18" s="4">
        <v>14</v>
      </c>
      <c r="B18" s="48" t="s">
        <v>107</v>
      </c>
      <c r="C18" s="52">
        <v>0</v>
      </c>
      <c r="D18" s="52">
        <v>0</v>
      </c>
      <c r="E18" s="52">
        <v>0</v>
      </c>
      <c r="F18" s="56">
        <v>0</v>
      </c>
      <c r="G18" s="9">
        <f t="shared" si="0"/>
        <v>0</v>
      </c>
      <c r="H18" s="10" t="str">
        <f t="shared" si="1"/>
        <v>يُعاد</v>
      </c>
      <c r="I18" s="10" t="str">
        <f t="shared" si="1"/>
        <v>يُعاد</v>
      </c>
      <c r="J18" s="10" t="str">
        <f t="shared" si="1"/>
        <v>يُعاد</v>
      </c>
      <c r="K18" s="10" t="str">
        <f t="shared" si="1"/>
        <v>يُعاد</v>
      </c>
      <c r="L18" s="11" t="str">
        <f t="shared" si="2"/>
        <v>-</v>
      </c>
    </row>
    <row r="19" spans="1:12" ht="31.5" x14ac:dyDescent="0.2">
      <c r="A19" s="4">
        <v>15</v>
      </c>
      <c r="B19" s="48" t="s">
        <v>108</v>
      </c>
      <c r="C19" s="52">
        <v>0</v>
      </c>
      <c r="D19" s="52">
        <v>0</v>
      </c>
      <c r="E19" s="52">
        <v>0</v>
      </c>
      <c r="F19" s="56">
        <v>0</v>
      </c>
      <c r="G19" s="9">
        <f t="shared" si="0"/>
        <v>0</v>
      </c>
      <c r="H19" s="10" t="str">
        <f t="shared" si="1"/>
        <v>يُعاد</v>
      </c>
      <c r="I19" s="10" t="str">
        <f t="shared" si="1"/>
        <v>يُعاد</v>
      </c>
      <c r="J19" s="10" t="str">
        <f t="shared" si="1"/>
        <v>يُعاد</v>
      </c>
      <c r="K19" s="10" t="str">
        <f t="shared" si="1"/>
        <v>يُعاد</v>
      </c>
      <c r="L19" s="11" t="str">
        <f t="shared" si="2"/>
        <v>-</v>
      </c>
    </row>
    <row r="20" spans="1:12" ht="31.5" x14ac:dyDescent="0.2">
      <c r="A20" s="4">
        <v>16</v>
      </c>
      <c r="B20" s="48" t="s">
        <v>109</v>
      </c>
      <c r="C20" s="52">
        <v>0</v>
      </c>
      <c r="D20" s="52">
        <v>0</v>
      </c>
      <c r="E20" s="52">
        <v>0</v>
      </c>
      <c r="F20" s="56">
        <v>0</v>
      </c>
      <c r="G20" s="9">
        <f t="shared" si="0"/>
        <v>0</v>
      </c>
      <c r="H20" s="10" t="str">
        <f t="shared" si="1"/>
        <v>يُعاد</v>
      </c>
      <c r="I20" s="10" t="str">
        <f t="shared" si="1"/>
        <v>يُعاد</v>
      </c>
      <c r="J20" s="10" t="str">
        <f t="shared" si="1"/>
        <v>يُعاد</v>
      </c>
      <c r="K20" s="10" t="str">
        <f t="shared" si="1"/>
        <v>يُعاد</v>
      </c>
      <c r="L20" s="11" t="str">
        <f t="shared" si="2"/>
        <v>-</v>
      </c>
    </row>
    <row r="21" spans="1:12" ht="31.5" x14ac:dyDescent="0.2">
      <c r="A21" s="4">
        <v>17</v>
      </c>
      <c r="B21" s="48" t="s">
        <v>22</v>
      </c>
      <c r="C21" s="52">
        <v>5</v>
      </c>
      <c r="D21" s="52">
        <v>10</v>
      </c>
      <c r="E21" s="52">
        <v>5</v>
      </c>
      <c r="F21" s="56">
        <v>7</v>
      </c>
      <c r="G21" s="9">
        <f t="shared" si="0"/>
        <v>27</v>
      </c>
      <c r="H21" s="10" t="str">
        <f t="shared" si="1"/>
        <v>مقبول</v>
      </c>
      <c r="I21" s="10" t="str">
        <f t="shared" si="1"/>
        <v>ممتاز</v>
      </c>
      <c r="J21" s="10" t="str">
        <f t="shared" si="1"/>
        <v>مقبول</v>
      </c>
      <c r="K21" s="10" t="str">
        <f t="shared" si="1"/>
        <v>جيد</v>
      </c>
      <c r="L21" s="11" t="str">
        <f t="shared" si="2"/>
        <v>جيد</v>
      </c>
    </row>
    <row r="22" spans="1:12" ht="31.5" x14ac:dyDescent="0.2">
      <c r="A22" s="4">
        <v>18</v>
      </c>
      <c r="B22" s="48" t="s">
        <v>110</v>
      </c>
      <c r="C22" s="52">
        <v>8</v>
      </c>
      <c r="D22" s="52">
        <v>10</v>
      </c>
      <c r="E22" s="52">
        <v>6</v>
      </c>
      <c r="F22" s="56">
        <v>7</v>
      </c>
      <c r="G22" s="9">
        <f t="shared" si="0"/>
        <v>31</v>
      </c>
      <c r="H22" s="10" t="str">
        <f t="shared" si="1"/>
        <v>جيد جداً</v>
      </c>
      <c r="I22" s="10" t="str">
        <f t="shared" si="1"/>
        <v>ممتاز</v>
      </c>
      <c r="J22" s="10" t="str">
        <f t="shared" si="1"/>
        <v>مقبول</v>
      </c>
      <c r="K22" s="10" t="str">
        <f t="shared" si="1"/>
        <v>جيد</v>
      </c>
      <c r="L22" s="11" t="str">
        <f t="shared" si="2"/>
        <v>جيد جداً</v>
      </c>
    </row>
    <row r="23" spans="1:12" ht="31.5" x14ac:dyDescent="0.2">
      <c r="A23" s="4">
        <v>19</v>
      </c>
      <c r="B23" s="48" t="s">
        <v>111</v>
      </c>
      <c r="C23" s="52">
        <v>6</v>
      </c>
      <c r="D23" s="52">
        <v>8</v>
      </c>
      <c r="E23" s="52">
        <v>7</v>
      </c>
      <c r="F23" s="56">
        <v>6.8</v>
      </c>
      <c r="G23" s="9">
        <f t="shared" si="0"/>
        <v>27.8</v>
      </c>
      <c r="H23" s="10" t="str">
        <f t="shared" si="1"/>
        <v>مقبول</v>
      </c>
      <c r="I23" s="10" t="str">
        <f t="shared" si="1"/>
        <v>جيد جداً</v>
      </c>
      <c r="J23" s="10" t="str">
        <f t="shared" si="1"/>
        <v>جيد</v>
      </c>
      <c r="K23" s="10" t="str">
        <f t="shared" si="1"/>
        <v>جيد</v>
      </c>
      <c r="L23" s="11" t="str">
        <f t="shared" si="2"/>
        <v>جيد</v>
      </c>
    </row>
    <row r="24" spans="1:12" ht="31.5" x14ac:dyDescent="0.2">
      <c r="A24" s="4">
        <v>20</v>
      </c>
      <c r="B24" s="48" t="s">
        <v>112</v>
      </c>
      <c r="C24" s="52">
        <v>10</v>
      </c>
      <c r="D24" s="52">
        <v>10</v>
      </c>
      <c r="E24" s="52">
        <v>7</v>
      </c>
      <c r="F24" s="56">
        <v>7</v>
      </c>
      <c r="G24" s="9">
        <f t="shared" si="0"/>
        <v>34</v>
      </c>
      <c r="H24" s="10" t="str">
        <f t="shared" si="1"/>
        <v>ممتاز</v>
      </c>
      <c r="I24" s="10" t="str">
        <f t="shared" si="1"/>
        <v>ممتاز</v>
      </c>
      <c r="J24" s="10" t="str">
        <f t="shared" si="1"/>
        <v>جيد</v>
      </c>
      <c r="K24" s="10" t="str">
        <f t="shared" si="1"/>
        <v>جيد</v>
      </c>
      <c r="L24" s="11" t="str">
        <f t="shared" si="2"/>
        <v>جيد جداً</v>
      </c>
    </row>
    <row r="25" spans="1:12" ht="31.5" x14ac:dyDescent="0.2">
      <c r="A25" s="4">
        <v>21</v>
      </c>
      <c r="B25" s="48" t="s">
        <v>113</v>
      </c>
      <c r="C25" s="52">
        <v>5</v>
      </c>
      <c r="D25" s="52">
        <v>10</v>
      </c>
      <c r="E25" s="52">
        <v>5</v>
      </c>
      <c r="F25" s="56">
        <v>7</v>
      </c>
      <c r="G25" s="9">
        <f t="shared" si="0"/>
        <v>27</v>
      </c>
      <c r="H25" s="10" t="str">
        <f t="shared" si="1"/>
        <v>مقبول</v>
      </c>
      <c r="I25" s="10" t="str">
        <f t="shared" si="1"/>
        <v>ممتاز</v>
      </c>
      <c r="J25" s="10" t="str">
        <f t="shared" si="1"/>
        <v>مقبول</v>
      </c>
      <c r="K25" s="10" t="str">
        <f t="shared" si="1"/>
        <v>جيد</v>
      </c>
      <c r="L25" s="11" t="str">
        <f t="shared" si="2"/>
        <v>جيد</v>
      </c>
    </row>
    <row r="26" spans="1:12" ht="31.5" x14ac:dyDescent="0.2">
      <c r="A26" s="4">
        <v>22</v>
      </c>
      <c r="B26" s="48" t="s">
        <v>114</v>
      </c>
      <c r="C26" s="52">
        <v>5</v>
      </c>
      <c r="D26" s="52">
        <v>5</v>
      </c>
      <c r="E26" s="52">
        <v>5</v>
      </c>
      <c r="F26" s="56">
        <v>4.8</v>
      </c>
      <c r="G26" s="9">
        <f t="shared" si="0"/>
        <v>19.8</v>
      </c>
      <c r="H26" s="10" t="str">
        <f t="shared" si="1"/>
        <v>مقبول</v>
      </c>
      <c r="I26" s="10" t="str">
        <f t="shared" si="1"/>
        <v>مقبول</v>
      </c>
      <c r="J26" s="10" t="str">
        <f t="shared" si="1"/>
        <v>مقبول</v>
      </c>
      <c r="K26" s="10" t="str">
        <f t="shared" si="1"/>
        <v>يُعاد</v>
      </c>
      <c r="L26" s="11" t="str">
        <f t="shared" si="2"/>
        <v>-</v>
      </c>
    </row>
    <row r="27" spans="1:12" ht="31.5" x14ac:dyDescent="0.2">
      <c r="A27" s="4">
        <v>23</v>
      </c>
      <c r="B27" s="48" t="s">
        <v>115</v>
      </c>
      <c r="C27" s="52">
        <v>5</v>
      </c>
      <c r="D27" s="52">
        <v>10</v>
      </c>
      <c r="E27" s="52">
        <v>5</v>
      </c>
      <c r="F27" s="56">
        <v>6.1</v>
      </c>
      <c r="G27" s="9">
        <f t="shared" si="0"/>
        <v>26.1</v>
      </c>
      <c r="H27" s="10" t="str">
        <f t="shared" si="1"/>
        <v>مقبول</v>
      </c>
      <c r="I27" s="10" t="str">
        <f t="shared" si="1"/>
        <v>ممتاز</v>
      </c>
      <c r="J27" s="10" t="str">
        <f t="shared" si="1"/>
        <v>مقبول</v>
      </c>
      <c r="K27" s="10" t="str">
        <f t="shared" si="1"/>
        <v>مقبول</v>
      </c>
      <c r="L27" s="11" t="str">
        <f t="shared" si="2"/>
        <v>جيد</v>
      </c>
    </row>
    <row r="28" spans="1:12" ht="31.5" x14ac:dyDescent="0.2">
      <c r="A28" s="4">
        <v>24</v>
      </c>
      <c r="B28" s="48" t="s">
        <v>116</v>
      </c>
      <c r="C28" s="52">
        <v>5</v>
      </c>
      <c r="D28" s="52">
        <v>5</v>
      </c>
      <c r="E28" s="52">
        <v>5</v>
      </c>
      <c r="F28" s="56">
        <v>3.5</v>
      </c>
      <c r="G28" s="9">
        <f t="shared" si="0"/>
        <v>18.5</v>
      </c>
      <c r="H28" s="10" t="str">
        <f t="shared" si="1"/>
        <v>مقبول</v>
      </c>
      <c r="I28" s="10" t="str">
        <f t="shared" si="1"/>
        <v>مقبول</v>
      </c>
      <c r="J28" s="10" t="str">
        <f t="shared" si="1"/>
        <v>مقبول</v>
      </c>
      <c r="K28" s="10" t="str">
        <f t="shared" si="1"/>
        <v>يُعاد</v>
      </c>
      <c r="L28" s="11" t="str">
        <f t="shared" si="2"/>
        <v>-</v>
      </c>
    </row>
    <row r="29" spans="1:12" ht="31.5" x14ac:dyDescent="0.2">
      <c r="A29" s="4">
        <v>25</v>
      </c>
      <c r="B29" s="48" t="s">
        <v>117</v>
      </c>
      <c r="C29" s="52">
        <v>10</v>
      </c>
      <c r="D29" s="52">
        <v>10</v>
      </c>
      <c r="E29" s="52">
        <v>5</v>
      </c>
      <c r="F29" s="56">
        <v>6.7</v>
      </c>
      <c r="G29" s="9">
        <f t="shared" si="0"/>
        <v>31.7</v>
      </c>
      <c r="H29" s="10" t="str">
        <f t="shared" si="1"/>
        <v>ممتاز</v>
      </c>
      <c r="I29" s="10" t="str">
        <f t="shared" si="1"/>
        <v>ممتاز</v>
      </c>
      <c r="J29" s="10" t="str">
        <f t="shared" si="1"/>
        <v>مقبول</v>
      </c>
      <c r="K29" s="10" t="str">
        <f t="shared" si="1"/>
        <v>جيد</v>
      </c>
      <c r="L29" s="11" t="str">
        <f t="shared" si="2"/>
        <v>جيد جداً</v>
      </c>
    </row>
    <row r="30" spans="1:12" ht="31.5" x14ac:dyDescent="0.2">
      <c r="A30" s="4">
        <v>26</v>
      </c>
      <c r="B30" s="48" t="s">
        <v>118</v>
      </c>
      <c r="C30" s="52">
        <v>5</v>
      </c>
      <c r="D30" s="52">
        <v>8</v>
      </c>
      <c r="E30" s="52">
        <v>5</v>
      </c>
      <c r="F30" s="56">
        <v>5.8</v>
      </c>
      <c r="G30" s="9">
        <f t="shared" si="0"/>
        <v>23.8</v>
      </c>
      <c r="H30" s="10" t="str">
        <f t="shared" si="1"/>
        <v>مقبول</v>
      </c>
      <c r="I30" s="10" t="str">
        <f t="shared" si="1"/>
        <v>جيد جداً</v>
      </c>
      <c r="J30" s="10" t="str">
        <f t="shared" si="1"/>
        <v>مقبول</v>
      </c>
      <c r="K30" s="10" t="str">
        <f t="shared" si="1"/>
        <v>مقبول</v>
      </c>
      <c r="L30" s="11" t="str">
        <f t="shared" si="2"/>
        <v>مقبول</v>
      </c>
    </row>
    <row r="31" spans="1:12" ht="31.5" x14ac:dyDescent="0.2">
      <c r="A31" s="4">
        <v>27</v>
      </c>
      <c r="B31" s="48" t="s">
        <v>16</v>
      </c>
      <c r="C31" s="52">
        <v>10</v>
      </c>
      <c r="D31" s="52">
        <v>10</v>
      </c>
      <c r="E31" s="52">
        <v>10</v>
      </c>
      <c r="F31" s="56">
        <v>7</v>
      </c>
      <c r="G31" s="9">
        <f t="shared" si="0"/>
        <v>37</v>
      </c>
      <c r="H31" s="10" t="str">
        <f t="shared" si="1"/>
        <v>ممتاز</v>
      </c>
      <c r="I31" s="10" t="str">
        <f t="shared" si="1"/>
        <v>ممتاز</v>
      </c>
      <c r="J31" s="10" t="str">
        <f t="shared" si="1"/>
        <v>ممتاز</v>
      </c>
      <c r="K31" s="10" t="str">
        <f t="shared" si="1"/>
        <v>جيد</v>
      </c>
      <c r="L31" s="11" t="str">
        <f t="shared" si="2"/>
        <v>ممتاز</v>
      </c>
    </row>
    <row r="32" spans="1:12" ht="31.5" x14ac:dyDescent="0.2">
      <c r="A32" s="4">
        <v>28</v>
      </c>
      <c r="B32" s="48" t="s">
        <v>119</v>
      </c>
      <c r="C32" s="52">
        <v>0</v>
      </c>
      <c r="D32" s="52">
        <v>0</v>
      </c>
      <c r="E32" s="52">
        <v>0</v>
      </c>
      <c r="F32" s="56">
        <v>0</v>
      </c>
      <c r="G32" s="9">
        <f t="shared" si="0"/>
        <v>0</v>
      </c>
      <c r="H32" s="10" t="str">
        <f t="shared" ref="H32:K49" si="3">IF(C32&gt;=8.6,"ممتاز",IF(C32&gt;=7.6,"جيد جداً",IF(C32&gt;=6.6,"جيد",IF(C32&gt;=5,"مقبول","يُعاد"))))</f>
        <v>يُعاد</v>
      </c>
      <c r="I32" s="10" t="str">
        <f t="shared" si="3"/>
        <v>يُعاد</v>
      </c>
      <c r="J32" s="10" t="str">
        <f t="shared" si="3"/>
        <v>يُعاد</v>
      </c>
      <c r="K32" s="10" t="str">
        <f t="shared" si="3"/>
        <v>يُعاد</v>
      </c>
      <c r="L32" s="11" t="str">
        <f t="shared" si="2"/>
        <v>-</v>
      </c>
    </row>
    <row r="33" spans="1:12" ht="31.5" x14ac:dyDescent="0.2">
      <c r="A33" s="4">
        <v>29</v>
      </c>
      <c r="B33" s="48" t="s">
        <v>120</v>
      </c>
      <c r="C33" s="52">
        <v>5</v>
      </c>
      <c r="D33" s="52">
        <v>8</v>
      </c>
      <c r="E33" s="52">
        <v>5</v>
      </c>
      <c r="F33" s="56">
        <v>7</v>
      </c>
      <c r="G33" s="9">
        <f t="shared" si="0"/>
        <v>25</v>
      </c>
      <c r="H33" s="10" t="str">
        <f t="shared" si="3"/>
        <v>مقبول</v>
      </c>
      <c r="I33" s="10" t="str">
        <f t="shared" si="3"/>
        <v>جيد جداً</v>
      </c>
      <c r="J33" s="10" t="str">
        <f t="shared" si="3"/>
        <v>مقبول</v>
      </c>
      <c r="K33" s="10" t="str">
        <f t="shared" si="3"/>
        <v>جيد</v>
      </c>
      <c r="L33" s="11" t="str">
        <f t="shared" si="2"/>
        <v>مقبول</v>
      </c>
    </row>
    <row r="34" spans="1:12" ht="31.5" x14ac:dyDescent="0.2">
      <c r="A34" s="4">
        <v>30</v>
      </c>
      <c r="B34" s="48" t="s">
        <v>121</v>
      </c>
      <c r="C34" s="52">
        <v>5</v>
      </c>
      <c r="D34" s="52">
        <v>6</v>
      </c>
      <c r="E34" s="52">
        <v>5</v>
      </c>
      <c r="F34" s="56">
        <v>6.4</v>
      </c>
      <c r="G34" s="9">
        <f t="shared" si="0"/>
        <v>22.4</v>
      </c>
      <c r="H34" s="10" t="str">
        <f t="shared" si="3"/>
        <v>مقبول</v>
      </c>
      <c r="I34" s="10" t="str">
        <f t="shared" si="3"/>
        <v>مقبول</v>
      </c>
      <c r="J34" s="10" t="str">
        <f t="shared" si="3"/>
        <v>مقبول</v>
      </c>
      <c r="K34" s="10" t="str">
        <f t="shared" si="3"/>
        <v>مقبول</v>
      </c>
      <c r="L34" s="11" t="str">
        <f t="shared" si="2"/>
        <v>مقبول</v>
      </c>
    </row>
    <row r="35" spans="1:12" ht="31.5" x14ac:dyDescent="0.2">
      <c r="A35" s="4">
        <v>31</v>
      </c>
      <c r="B35" s="48" t="s">
        <v>19</v>
      </c>
      <c r="C35" s="52">
        <v>5</v>
      </c>
      <c r="D35" s="52">
        <v>6</v>
      </c>
      <c r="E35" s="52">
        <v>5</v>
      </c>
      <c r="F35" s="56">
        <v>5.3</v>
      </c>
      <c r="G35" s="9">
        <f t="shared" si="0"/>
        <v>21.3</v>
      </c>
      <c r="H35" s="10" t="str">
        <f t="shared" si="3"/>
        <v>مقبول</v>
      </c>
      <c r="I35" s="10" t="str">
        <f t="shared" si="3"/>
        <v>مقبول</v>
      </c>
      <c r="J35" s="10" t="str">
        <f t="shared" si="3"/>
        <v>مقبول</v>
      </c>
      <c r="K35" s="10" t="str">
        <f t="shared" si="3"/>
        <v>مقبول</v>
      </c>
      <c r="L35" s="11" t="str">
        <f t="shared" si="2"/>
        <v>مقبول</v>
      </c>
    </row>
    <row r="36" spans="1:12" ht="31.5" x14ac:dyDescent="0.2">
      <c r="A36" s="4">
        <v>32</v>
      </c>
      <c r="B36" s="48" t="s">
        <v>15</v>
      </c>
      <c r="C36" s="52">
        <v>10</v>
      </c>
      <c r="D36" s="52">
        <v>10</v>
      </c>
      <c r="E36" s="52">
        <v>6</v>
      </c>
      <c r="F36" s="56">
        <v>6.6</v>
      </c>
      <c r="G36" s="9">
        <f t="shared" si="0"/>
        <v>32.6</v>
      </c>
      <c r="H36" s="10" t="str">
        <f t="shared" si="3"/>
        <v>ممتاز</v>
      </c>
      <c r="I36" s="10" t="str">
        <f t="shared" si="3"/>
        <v>ممتاز</v>
      </c>
      <c r="J36" s="10" t="str">
        <f t="shared" si="3"/>
        <v>مقبول</v>
      </c>
      <c r="K36" s="10" t="str">
        <f t="shared" si="3"/>
        <v>جيد</v>
      </c>
      <c r="L36" s="11" t="str">
        <f t="shared" si="2"/>
        <v>جيد جداً</v>
      </c>
    </row>
    <row r="37" spans="1:12" ht="31.5" x14ac:dyDescent="0.2">
      <c r="A37" s="4">
        <v>33</v>
      </c>
      <c r="B37" s="48" t="s">
        <v>122</v>
      </c>
      <c r="C37" s="52">
        <v>0</v>
      </c>
      <c r="D37" s="52">
        <v>0</v>
      </c>
      <c r="E37" s="52">
        <v>0</v>
      </c>
      <c r="F37" s="56">
        <v>0</v>
      </c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31.5" x14ac:dyDescent="0.2">
      <c r="A38" s="4">
        <v>34</v>
      </c>
      <c r="B38" s="48" t="s">
        <v>123</v>
      </c>
      <c r="C38" s="52">
        <v>5</v>
      </c>
      <c r="D38" s="52">
        <v>8</v>
      </c>
      <c r="E38" s="52">
        <v>5</v>
      </c>
      <c r="F38" s="56">
        <v>6.3</v>
      </c>
      <c r="G38" s="9">
        <f t="shared" si="0"/>
        <v>24.3</v>
      </c>
      <c r="H38" s="10" t="str">
        <f t="shared" si="3"/>
        <v>مقبول</v>
      </c>
      <c r="I38" s="10" t="str">
        <f t="shared" si="3"/>
        <v>جيد جداً</v>
      </c>
      <c r="J38" s="10" t="str">
        <f t="shared" si="3"/>
        <v>مقبول</v>
      </c>
      <c r="K38" s="10" t="str">
        <f t="shared" si="3"/>
        <v>مقبول</v>
      </c>
      <c r="L38" s="11" t="str">
        <f t="shared" si="2"/>
        <v>مقبول</v>
      </c>
    </row>
    <row r="39" spans="1:12" ht="31.5" x14ac:dyDescent="0.2">
      <c r="A39" s="4">
        <v>35</v>
      </c>
      <c r="B39" s="48" t="s">
        <v>24</v>
      </c>
      <c r="C39" s="52">
        <v>8</v>
      </c>
      <c r="D39" s="52">
        <v>10</v>
      </c>
      <c r="E39" s="52">
        <v>5</v>
      </c>
      <c r="F39" s="56">
        <v>6.8</v>
      </c>
      <c r="G39" s="9">
        <f t="shared" si="0"/>
        <v>29.8</v>
      </c>
      <c r="H39" s="10" t="str">
        <f t="shared" si="3"/>
        <v>جيد جداً</v>
      </c>
      <c r="I39" s="10" t="str">
        <f t="shared" si="3"/>
        <v>ممتاز</v>
      </c>
      <c r="J39" s="10" t="str">
        <f t="shared" si="3"/>
        <v>مقبول</v>
      </c>
      <c r="K39" s="10" t="str">
        <f t="shared" si="3"/>
        <v>جيد</v>
      </c>
      <c r="L39" s="11" t="str">
        <f t="shared" si="2"/>
        <v>جيد</v>
      </c>
    </row>
    <row r="40" spans="1:12" ht="31.5" x14ac:dyDescent="0.2">
      <c r="A40" s="4">
        <v>36</v>
      </c>
      <c r="B40" s="48" t="s">
        <v>11</v>
      </c>
      <c r="C40" s="52">
        <v>8</v>
      </c>
      <c r="D40" s="52">
        <v>10</v>
      </c>
      <c r="E40" s="52">
        <v>10</v>
      </c>
      <c r="F40" s="56">
        <v>7</v>
      </c>
      <c r="G40" s="9">
        <f t="shared" si="0"/>
        <v>35</v>
      </c>
      <c r="H40" s="10" t="str">
        <f t="shared" si="3"/>
        <v>جيد جداً</v>
      </c>
      <c r="I40" s="10" t="str">
        <f t="shared" si="3"/>
        <v>ممتاز</v>
      </c>
      <c r="J40" s="10" t="str">
        <f t="shared" si="3"/>
        <v>ممتاز</v>
      </c>
      <c r="K40" s="10" t="str">
        <f t="shared" si="3"/>
        <v>جيد</v>
      </c>
      <c r="L40" s="11" t="str">
        <f t="shared" si="2"/>
        <v>ممتاز</v>
      </c>
    </row>
    <row r="41" spans="1:12" ht="31.5" x14ac:dyDescent="0.2">
      <c r="A41" s="4">
        <v>37</v>
      </c>
      <c r="B41" s="48" t="s">
        <v>124</v>
      </c>
      <c r="C41" s="52">
        <v>0</v>
      </c>
      <c r="D41" s="52">
        <v>0</v>
      </c>
      <c r="E41" s="52">
        <v>0</v>
      </c>
      <c r="F41" s="56">
        <v>0</v>
      </c>
      <c r="G41" s="9">
        <f t="shared" si="0"/>
        <v>0</v>
      </c>
      <c r="H41" s="10" t="str">
        <f t="shared" si="3"/>
        <v>يُعاد</v>
      </c>
      <c r="I41" s="10" t="str">
        <f t="shared" si="3"/>
        <v>يُعاد</v>
      </c>
      <c r="J41" s="10" t="str">
        <f t="shared" si="3"/>
        <v>يُعاد</v>
      </c>
      <c r="K41" s="10" t="str">
        <f t="shared" si="3"/>
        <v>يُعاد</v>
      </c>
      <c r="L41" s="11" t="str">
        <f t="shared" si="2"/>
        <v>-</v>
      </c>
    </row>
    <row r="42" spans="1:12" ht="31.5" x14ac:dyDescent="0.2">
      <c r="A42" s="4">
        <v>38</v>
      </c>
      <c r="B42" s="48" t="s">
        <v>125</v>
      </c>
      <c r="C42" s="52">
        <v>0</v>
      </c>
      <c r="D42" s="52">
        <v>0</v>
      </c>
      <c r="E42" s="52">
        <v>0</v>
      </c>
      <c r="F42" s="56">
        <v>0</v>
      </c>
      <c r="G42" s="9">
        <f t="shared" si="0"/>
        <v>0</v>
      </c>
      <c r="H42" s="10" t="str">
        <f t="shared" si="3"/>
        <v>يُعاد</v>
      </c>
      <c r="I42" s="10" t="str">
        <f t="shared" si="3"/>
        <v>يُعاد</v>
      </c>
      <c r="J42" s="10" t="str">
        <f t="shared" si="3"/>
        <v>يُعاد</v>
      </c>
      <c r="K42" s="10" t="str">
        <f t="shared" si="3"/>
        <v>يُعاد</v>
      </c>
      <c r="L42" s="11" t="str">
        <f t="shared" si="2"/>
        <v>-</v>
      </c>
    </row>
    <row r="43" spans="1:12" ht="31.5" x14ac:dyDescent="0.2">
      <c r="A43" s="4">
        <v>39</v>
      </c>
      <c r="B43" s="48" t="s">
        <v>126</v>
      </c>
      <c r="C43" s="52">
        <v>6</v>
      </c>
      <c r="D43" s="52">
        <v>10</v>
      </c>
      <c r="E43" s="52">
        <v>5</v>
      </c>
      <c r="F43" s="56">
        <v>7</v>
      </c>
      <c r="G43" s="9">
        <f t="shared" si="0"/>
        <v>28</v>
      </c>
      <c r="H43" s="10" t="str">
        <f t="shared" si="3"/>
        <v>مقبول</v>
      </c>
      <c r="I43" s="10" t="str">
        <f t="shared" si="3"/>
        <v>ممتاز</v>
      </c>
      <c r="J43" s="10" t="str">
        <f t="shared" si="3"/>
        <v>مقبول</v>
      </c>
      <c r="K43" s="10" t="str">
        <f t="shared" si="3"/>
        <v>جيد</v>
      </c>
      <c r="L43" s="11" t="str">
        <f t="shared" si="2"/>
        <v>جيد</v>
      </c>
    </row>
    <row r="44" spans="1:12" ht="31.5" x14ac:dyDescent="0.2">
      <c r="A44" s="4">
        <v>40</v>
      </c>
      <c r="B44" s="48" t="s">
        <v>127</v>
      </c>
      <c r="C44" s="52">
        <v>0</v>
      </c>
      <c r="D44" s="52">
        <v>0</v>
      </c>
      <c r="E44" s="52">
        <v>0</v>
      </c>
      <c r="F44" s="56">
        <v>0</v>
      </c>
      <c r="G44" s="9">
        <f t="shared" si="0"/>
        <v>0</v>
      </c>
      <c r="H44" s="10" t="str">
        <f t="shared" si="3"/>
        <v>يُعاد</v>
      </c>
      <c r="I44" s="10" t="str">
        <f t="shared" si="3"/>
        <v>يُعاد</v>
      </c>
      <c r="J44" s="10" t="str">
        <f t="shared" si="3"/>
        <v>يُعاد</v>
      </c>
      <c r="K44" s="10" t="str">
        <f t="shared" si="3"/>
        <v>يُعاد</v>
      </c>
      <c r="L44" s="11" t="str">
        <f t="shared" si="2"/>
        <v>-</v>
      </c>
    </row>
    <row r="45" spans="1:12" ht="31.5" x14ac:dyDescent="0.2">
      <c r="A45" s="4">
        <v>41</v>
      </c>
      <c r="B45" s="48" t="s">
        <v>128</v>
      </c>
      <c r="C45" s="52">
        <v>5</v>
      </c>
      <c r="D45" s="52">
        <v>10</v>
      </c>
      <c r="E45" s="52">
        <v>8</v>
      </c>
      <c r="F45" s="56">
        <v>7</v>
      </c>
      <c r="G45" s="9">
        <f t="shared" si="0"/>
        <v>30</v>
      </c>
      <c r="H45" s="10" t="str">
        <f t="shared" si="3"/>
        <v>مقبول</v>
      </c>
      <c r="I45" s="10" t="str">
        <f t="shared" si="3"/>
        <v>ممتاز</v>
      </c>
      <c r="J45" s="10" t="str">
        <f t="shared" si="3"/>
        <v>جيد جداً</v>
      </c>
      <c r="K45" s="10" t="str">
        <f t="shared" si="3"/>
        <v>جيد</v>
      </c>
      <c r="L45" s="11" t="str">
        <f t="shared" si="2"/>
        <v>جيد</v>
      </c>
    </row>
    <row r="46" spans="1:12" ht="31.5" x14ac:dyDescent="0.2">
      <c r="A46" s="4">
        <v>42</v>
      </c>
      <c r="B46" s="48" t="s">
        <v>129</v>
      </c>
      <c r="C46" s="52">
        <v>5</v>
      </c>
      <c r="D46" s="52">
        <v>10</v>
      </c>
      <c r="E46" s="52">
        <v>5</v>
      </c>
      <c r="F46" s="56">
        <v>4.5</v>
      </c>
      <c r="G46" s="9">
        <f t="shared" si="0"/>
        <v>24.5</v>
      </c>
      <c r="H46" s="10" t="str">
        <f t="shared" si="3"/>
        <v>مقبول</v>
      </c>
      <c r="I46" s="10" t="str">
        <f t="shared" si="3"/>
        <v>ممتاز</v>
      </c>
      <c r="J46" s="10" t="str">
        <f t="shared" si="3"/>
        <v>مقبول</v>
      </c>
      <c r="K46" s="10" t="str">
        <f t="shared" si="3"/>
        <v>يُعاد</v>
      </c>
      <c r="L46" s="11" t="str">
        <f t="shared" si="2"/>
        <v>مقبول</v>
      </c>
    </row>
    <row r="47" spans="1:12" ht="31.5" x14ac:dyDescent="0.2">
      <c r="A47" s="4">
        <v>43</v>
      </c>
      <c r="B47" s="48" t="s">
        <v>130</v>
      </c>
      <c r="C47" s="52">
        <v>6</v>
      </c>
      <c r="D47" s="52">
        <v>8</v>
      </c>
      <c r="E47" s="52">
        <v>5</v>
      </c>
      <c r="F47" s="56">
        <v>6</v>
      </c>
      <c r="G47" s="9">
        <f t="shared" si="0"/>
        <v>25</v>
      </c>
      <c r="H47" s="10" t="str">
        <f t="shared" si="3"/>
        <v>مقبول</v>
      </c>
      <c r="I47" s="10" t="str">
        <f t="shared" si="3"/>
        <v>جيد جداً</v>
      </c>
      <c r="J47" s="10" t="str">
        <f t="shared" si="3"/>
        <v>مقبول</v>
      </c>
      <c r="K47" s="10" t="str">
        <f t="shared" si="3"/>
        <v>مقبول</v>
      </c>
      <c r="L47" s="11" t="str">
        <f t="shared" si="2"/>
        <v>مقبول</v>
      </c>
    </row>
    <row r="48" spans="1:12" ht="31.5" x14ac:dyDescent="0.2">
      <c r="A48" s="4">
        <v>44</v>
      </c>
      <c r="B48" s="48" t="s">
        <v>131</v>
      </c>
      <c r="C48" s="52">
        <v>8</v>
      </c>
      <c r="D48" s="52">
        <v>10</v>
      </c>
      <c r="E48" s="52">
        <v>10</v>
      </c>
      <c r="F48" s="56">
        <v>7</v>
      </c>
      <c r="G48" s="9">
        <f t="shared" si="0"/>
        <v>35</v>
      </c>
      <c r="H48" s="10" t="str">
        <f t="shared" si="3"/>
        <v>جيد جداً</v>
      </c>
      <c r="I48" s="10" t="str">
        <f t="shared" si="3"/>
        <v>ممتاز</v>
      </c>
      <c r="J48" s="10" t="str">
        <f t="shared" si="3"/>
        <v>ممتاز</v>
      </c>
      <c r="K48" s="10" t="str">
        <f t="shared" si="3"/>
        <v>جيد</v>
      </c>
      <c r="L48" s="11" t="str">
        <f t="shared" si="2"/>
        <v>ممتاز</v>
      </c>
    </row>
    <row r="49" spans="1:12" ht="31.5" x14ac:dyDescent="0.2">
      <c r="A49" s="4">
        <v>45</v>
      </c>
      <c r="B49" s="48" t="s">
        <v>132</v>
      </c>
      <c r="C49" s="52">
        <v>5</v>
      </c>
      <c r="D49" s="52">
        <v>6</v>
      </c>
      <c r="E49" s="52">
        <v>5</v>
      </c>
      <c r="F49" s="56">
        <v>6.5</v>
      </c>
      <c r="G49" s="9">
        <f t="shared" si="0"/>
        <v>22.5</v>
      </c>
      <c r="H49" s="10" t="str">
        <f t="shared" si="3"/>
        <v>مقبول</v>
      </c>
      <c r="I49" s="10" t="str">
        <f t="shared" si="3"/>
        <v>مقبول</v>
      </c>
      <c r="J49" s="10" t="str">
        <f t="shared" si="3"/>
        <v>مقبول</v>
      </c>
      <c r="K49" s="10" t="str">
        <f t="shared" si="3"/>
        <v>مقبول</v>
      </c>
      <c r="L49" s="11" t="str">
        <f t="shared" si="2"/>
        <v>مقبول</v>
      </c>
    </row>
    <row r="50" spans="1:12" ht="31.5" x14ac:dyDescent="0.2">
      <c r="A50" s="4">
        <v>46</v>
      </c>
      <c r="B50" s="48" t="s">
        <v>133</v>
      </c>
      <c r="C50" s="52">
        <v>5</v>
      </c>
      <c r="D50" s="52">
        <v>5</v>
      </c>
      <c r="E50" s="52">
        <v>5</v>
      </c>
      <c r="F50" s="56">
        <v>4.5</v>
      </c>
      <c r="G50" s="9">
        <f t="shared" si="0"/>
        <v>19.5</v>
      </c>
      <c r="H50" s="10" t="str">
        <f t="shared" ref="H50:H66" si="4">IF(C50&gt;=8.6,"ممتاز",IF(C50&gt;=7.6,"جيد جداً",IF(C50&gt;=6.6,"جيد",IF(C50&gt;=5,"مقبول","يُعاد"))))</f>
        <v>مقبول</v>
      </c>
      <c r="I50" s="10" t="str">
        <f t="shared" ref="I50:I66" si="5">IF(D50&gt;=8.6,"ممتاز",IF(D50&gt;=7.6,"جيد جداً",IF(D50&gt;=6.6,"جيد",IF(D50&gt;=5,"مقبول","يُعاد"))))</f>
        <v>مقبول</v>
      </c>
      <c r="J50" s="10" t="str">
        <f t="shared" ref="J50:J66" si="6">IF(E50&gt;=8.6,"ممتاز",IF(E50&gt;=7.6,"جيد جداً",IF(E50&gt;=6.6,"جيد",IF(E50&gt;=5,"مقبول","يُعاد"))))</f>
        <v>مقبول</v>
      </c>
      <c r="K50" s="10" t="str">
        <f t="shared" ref="K50:K66" si="7">IF(F50&gt;=8.6,"ممتاز",IF(F50&gt;=7.6,"جيد جداً",IF(F50&gt;=6.6,"جيد",IF(F50&gt;=5,"مقبول","يُعاد"))))</f>
        <v>يُعاد</v>
      </c>
      <c r="L50" s="11" t="str">
        <f t="shared" si="2"/>
        <v>-</v>
      </c>
    </row>
    <row r="51" spans="1:12" ht="31.5" x14ac:dyDescent="0.2">
      <c r="A51" s="4">
        <v>47</v>
      </c>
      <c r="B51" s="48" t="s">
        <v>134</v>
      </c>
      <c r="C51" s="52">
        <v>6</v>
      </c>
      <c r="D51" s="52">
        <v>10</v>
      </c>
      <c r="E51" s="52">
        <v>6</v>
      </c>
      <c r="F51" s="56">
        <v>7</v>
      </c>
      <c r="G51" s="9">
        <f t="shared" si="0"/>
        <v>29</v>
      </c>
      <c r="H51" s="10" t="str">
        <f t="shared" si="4"/>
        <v>مقبول</v>
      </c>
      <c r="I51" s="10" t="str">
        <f t="shared" si="5"/>
        <v>ممتاز</v>
      </c>
      <c r="J51" s="10" t="str">
        <f t="shared" si="6"/>
        <v>مقبول</v>
      </c>
      <c r="K51" s="10" t="str">
        <f t="shared" si="7"/>
        <v>جيد</v>
      </c>
      <c r="L51" s="11" t="str">
        <f t="shared" si="2"/>
        <v>جيد</v>
      </c>
    </row>
    <row r="52" spans="1:12" ht="31.5" x14ac:dyDescent="0.2">
      <c r="A52" s="4">
        <v>48</v>
      </c>
      <c r="B52" s="48" t="s">
        <v>135</v>
      </c>
      <c r="C52" s="52">
        <v>5</v>
      </c>
      <c r="D52" s="52">
        <v>10</v>
      </c>
      <c r="E52" s="52">
        <v>5</v>
      </c>
      <c r="F52" s="56">
        <v>6.8</v>
      </c>
      <c r="G52" s="9">
        <f t="shared" si="0"/>
        <v>26.8</v>
      </c>
      <c r="H52" s="10" t="str">
        <f t="shared" si="4"/>
        <v>مقبول</v>
      </c>
      <c r="I52" s="10" t="str">
        <f t="shared" si="5"/>
        <v>ممتاز</v>
      </c>
      <c r="J52" s="10" t="str">
        <f t="shared" si="6"/>
        <v>مقبول</v>
      </c>
      <c r="K52" s="10" t="str">
        <f t="shared" si="7"/>
        <v>جيد</v>
      </c>
      <c r="L52" s="11" t="str">
        <f t="shared" si="2"/>
        <v>جيد</v>
      </c>
    </row>
    <row r="53" spans="1:12" ht="31.5" x14ac:dyDescent="0.2">
      <c r="A53" s="4">
        <v>49</v>
      </c>
      <c r="B53" s="48" t="s">
        <v>136</v>
      </c>
      <c r="C53" s="52">
        <v>5</v>
      </c>
      <c r="D53" s="52">
        <v>5</v>
      </c>
      <c r="E53" s="52">
        <v>5</v>
      </c>
      <c r="F53" s="56">
        <v>6.8</v>
      </c>
      <c r="G53" s="9">
        <f t="shared" si="0"/>
        <v>21.8</v>
      </c>
      <c r="H53" s="10" t="str">
        <f t="shared" si="4"/>
        <v>مقبول</v>
      </c>
      <c r="I53" s="10" t="str">
        <f t="shared" si="5"/>
        <v>مقبول</v>
      </c>
      <c r="J53" s="10" t="str">
        <f t="shared" si="6"/>
        <v>مقبول</v>
      </c>
      <c r="K53" s="10" t="str">
        <f t="shared" si="7"/>
        <v>جيد</v>
      </c>
      <c r="L53" s="11" t="str">
        <f t="shared" si="2"/>
        <v>مقبول</v>
      </c>
    </row>
    <row r="54" spans="1:12" ht="31.5" x14ac:dyDescent="0.2">
      <c r="A54" s="4">
        <v>50</v>
      </c>
      <c r="B54" s="48" t="s">
        <v>94</v>
      </c>
      <c r="C54" s="52">
        <v>10</v>
      </c>
      <c r="D54" s="52">
        <v>10</v>
      </c>
      <c r="E54" s="52">
        <v>10</v>
      </c>
      <c r="F54" s="56">
        <v>7</v>
      </c>
      <c r="G54" s="9">
        <f t="shared" si="0"/>
        <v>37</v>
      </c>
      <c r="H54" s="10" t="str">
        <f t="shared" si="4"/>
        <v>ممتاز</v>
      </c>
      <c r="I54" s="10" t="str">
        <f t="shared" si="5"/>
        <v>ممتاز</v>
      </c>
      <c r="J54" s="10" t="str">
        <f t="shared" si="6"/>
        <v>ممتاز</v>
      </c>
      <c r="K54" s="10" t="str">
        <f t="shared" si="7"/>
        <v>جيد</v>
      </c>
      <c r="L54" s="11" t="str">
        <f t="shared" si="2"/>
        <v>ممتاز</v>
      </c>
    </row>
    <row r="55" spans="1:12" ht="31.5" x14ac:dyDescent="0.2">
      <c r="A55" s="4">
        <v>51</v>
      </c>
      <c r="B55" s="48" t="s">
        <v>137</v>
      </c>
      <c r="C55" s="52">
        <v>8</v>
      </c>
      <c r="D55" s="52">
        <v>10</v>
      </c>
      <c r="E55" s="52">
        <v>5</v>
      </c>
      <c r="F55" s="56">
        <v>7</v>
      </c>
      <c r="G55" s="9">
        <f t="shared" si="0"/>
        <v>30</v>
      </c>
      <c r="H55" s="10" t="str">
        <f t="shared" si="4"/>
        <v>جيد جداً</v>
      </c>
      <c r="I55" s="10" t="str">
        <f t="shared" si="5"/>
        <v>ممتاز</v>
      </c>
      <c r="J55" s="10" t="str">
        <f t="shared" si="6"/>
        <v>مقبول</v>
      </c>
      <c r="K55" s="10" t="str">
        <f t="shared" si="7"/>
        <v>جيد</v>
      </c>
      <c r="L55" s="11" t="str">
        <f t="shared" si="2"/>
        <v>جيد</v>
      </c>
    </row>
    <row r="56" spans="1:12" ht="31.5" x14ac:dyDescent="0.2">
      <c r="A56" s="4">
        <v>52</v>
      </c>
      <c r="B56" s="48" t="s">
        <v>138</v>
      </c>
      <c r="C56" s="52">
        <v>10</v>
      </c>
      <c r="D56" s="52">
        <v>10</v>
      </c>
      <c r="E56" s="52">
        <v>5</v>
      </c>
      <c r="F56" s="56">
        <v>7</v>
      </c>
      <c r="G56" s="9">
        <f t="shared" si="0"/>
        <v>32</v>
      </c>
      <c r="H56" s="10" t="str">
        <f t="shared" si="4"/>
        <v>ممتاز</v>
      </c>
      <c r="I56" s="10" t="str">
        <f t="shared" si="5"/>
        <v>ممتاز</v>
      </c>
      <c r="J56" s="10" t="str">
        <f t="shared" si="6"/>
        <v>مقبول</v>
      </c>
      <c r="K56" s="10" t="str">
        <f t="shared" si="7"/>
        <v>جيد</v>
      </c>
      <c r="L56" s="11" t="str">
        <f t="shared" si="2"/>
        <v>جيد جداً</v>
      </c>
    </row>
    <row r="57" spans="1:12" ht="31.5" x14ac:dyDescent="0.2">
      <c r="A57" s="4">
        <v>53</v>
      </c>
      <c r="B57" s="48" t="s">
        <v>139</v>
      </c>
      <c r="C57" s="52">
        <v>0</v>
      </c>
      <c r="D57" s="52">
        <v>0</v>
      </c>
      <c r="E57" s="52">
        <v>0</v>
      </c>
      <c r="F57" s="56">
        <v>0</v>
      </c>
      <c r="G57" s="9">
        <f t="shared" si="0"/>
        <v>0</v>
      </c>
      <c r="H57" s="10" t="str">
        <f t="shared" si="4"/>
        <v>يُعاد</v>
      </c>
      <c r="I57" s="10" t="str">
        <f t="shared" si="5"/>
        <v>يُعاد</v>
      </c>
      <c r="J57" s="10" t="str">
        <f t="shared" si="6"/>
        <v>يُعاد</v>
      </c>
      <c r="K57" s="10" t="str">
        <f t="shared" si="7"/>
        <v>يُعاد</v>
      </c>
      <c r="L57" s="11" t="str">
        <f t="shared" si="2"/>
        <v>-</v>
      </c>
    </row>
    <row r="58" spans="1:12" ht="31.5" x14ac:dyDescent="0.2">
      <c r="A58" s="4">
        <v>54</v>
      </c>
      <c r="B58" s="48" t="s">
        <v>140</v>
      </c>
      <c r="C58" s="52">
        <v>5</v>
      </c>
      <c r="D58" s="52">
        <v>8</v>
      </c>
      <c r="E58" s="52">
        <v>5</v>
      </c>
      <c r="F58" s="56">
        <v>7</v>
      </c>
      <c r="G58" s="9">
        <f t="shared" si="0"/>
        <v>25</v>
      </c>
      <c r="H58" s="10" t="str">
        <f t="shared" si="4"/>
        <v>مقبول</v>
      </c>
      <c r="I58" s="10" t="str">
        <f t="shared" si="5"/>
        <v>جيد جداً</v>
      </c>
      <c r="J58" s="10" t="str">
        <f t="shared" si="6"/>
        <v>مقبول</v>
      </c>
      <c r="K58" s="10" t="str">
        <f t="shared" si="7"/>
        <v>جيد</v>
      </c>
      <c r="L58" s="11" t="str">
        <f t="shared" si="2"/>
        <v>مقبول</v>
      </c>
    </row>
    <row r="59" spans="1:12" ht="31.5" x14ac:dyDescent="0.2">
      <c r="A59" s="4">
        <v>55</v>
      </c>
      <c r="B59" s="48" t="s">
        <v>141</v>
      </c>
      <c r="C59" s="52">
        <v>0</v>
      </c>
      <c r="D59" s="52">
        <v>0</v>
      </c>
      <c r="E59" s="52">
        <v>0</v>
      </c>
      <c r="F59" s="56">
        <v>0</v>
      </c>
      <c r="G59" s="9">
        <f t="shared" si="0"/>
        <v>0</v>
      </c>
      <c r="H59" s="10" t="str">
        <f t="shared" si="4"/>
        <v>يُعاد</v>
      </c>
      <c r="I59" s="10" t="str">
        <f t="shared" si="5"/>
        <v>يُعاد</v>
      </c>
      <c r="J59" s="10" t="str">
        <f t="shared" si="6"/>
        <v>يُعاد</v>
      </c>
      <c r="K59" s="10" t="str">
        <f t="shared" si="7"/>
        <v>يُعاد</v>
      </c>
      <c r="L59" s="11" t="str">
        <f t="shared" si="2"/>
        <v>-</v>
      </c>
    </row>
    <row r="60" spans="1:12" ht="31.5" x14ac:dyDescent="0.2">
      <c r="A60" s="4">
        <v>56</v>
      </c>
      <c r="B60" s="48" t="s">
        <v>142</v>
      </c>
      <c r="C60" s="52">
        <v>5</v>
      </c>
      <c r="D60" s="52">
        <v>5</v>
      </c>
      <c r="E60" s="52">
        <v>5</v>
      </c>
      <c r="F60" s="56">
        <v>4.8</v>
      </c>
      <c r="G60" s="9">
        <f t="shared" si="0"/>
        <v>19.8</v>
      </c>
      <c r="H60" s="10" t="str">
        <f t="shared" si="4"/>
        <v>مقبول</v>
      </c>
      <c r="I60" s="10" t="str">
        <f t="shared" si="5"/>
        <v>مقبول</v>
      </c>
      <c r="J60" s="10" t="str">
        <f t="shared" si="6"/>
        <v>مقبول</v>
      </c>
      <c r="K60" s="10" t="str">
        <f t="shared" si="7"/>
        <v>يُعاد</v>
      </c>
      <c r="L60" s="11" t="str">
        <f t="shared" si="2"/>
        <v>-</v>
      </c>
    </row>
    <row r="61" spans="1:12" ht="31.5" x14ac:dyDescent="0.2">
      <c r="A61" s="4">
        <v>57</v>
      </c>
      <c r="B61" s="48" t="s">
        <v>143</v>
      </c>
      <c r="C61" s="52">
        <v>0</v>
      </c>
      <c r="D61" s="52">
        <v>0</v>
      </c>
      <c r="E61" s="52">
        <v>0</v>
      </c>
      <c r="F61" s="56">
        <v>0</v>
      </c>
      <c r="G61" s="9">
        <f t="shared" si="0"/>
        <v>0</v>
      </c>
      <c r="H61" s="10" t="str">
        <f t="shared" si="4"/>
        <v>يُعاد</v>
      </c>
      <c r="I61" s="10" t="str">
        <f t="shared" si="5"/>
        <v>يُعاد</v>
      </c>
      <c r="J61" s="10" t="str">
        <f t="shared" si="6"/>
        <v>يُعاد</v>
      </c>
      <c r="K61" s="10" t="str">
        <f t="shared" si="7"/>
        <v>يُعاد</v>
      </c>
      <c r="L61" s="11" t="str">
        <f t="shared" si="2"/>
        <v>-</v>
      </c>
    </row>
    <row r="62" spans="1:12" ht="31.5" x14ac:dyDescent="0.2">
      <c r="A62" s="4">
        <v>58</v>
      </c>
      <c r="B62" s="48" t="s">
        <v>144</v>
      </c>
      <c r="C62" s="52">
        <v>0</v>
      </c>
      <c r="D62" s="52">
        <v>0</v>
      </c>
      <c r="E62" s="52">
        <v>0</v>
      </c>
      <c r="F62" s="56">
        <v>0</v>
      </c>
      <c r="G62" s="9">
        <f t="shared" si="0"/>
        <v>0</v>
      </c>
      <c r="H62" s="10" t="str">
        <f t="shared" si="4"/>
        <v>يُعاد</v>
      </c>
      <c r="I62" s="10" t="str">
        <f t="shared" si="5"/>
        <v>يُعاد</v>
      </c>
      <c r="J62" s="10" t="str">
        <f t="shared" si="6"/>
        <v>يُعاد</v>
      </c>
      <c r="K62" s="10" t="str">
        <f t="shared" si="7"/>
        <v>يُعاد</v>
      </c>
      <c r="L62" s="11" t="str">
        <f t="shared" si="2"/>
        <v>-</v>
      </c>
    </row>
    <row r="63" spans="1:12" ht="31.5" x14ac:dyDescent="0.2">
      <c r="A63" s="4">
        <v>59</v>
      </c>
      <c r="B63" s="48" t="s">
        <v>145</v>
      </c>
      <c r="C63" s="52">
        <v>0</v>
      </c>
      <c r="D63" s="52">
        <v>0</v>
      </c>
      <c r="E63" s="52">
        <v>0</v>
      </c>
      <c r="F63" s="56">
        <v>0</v>
      </c>
      <c r="G63" s="9">
        <f t="shared" si="0"/>
        <v>0</v>
      </c>
      <c r="H63" s="10" t="str">
        <f t="shared" si="4"/>
        <v>يُعاد</v>
      </c>
      <c r="I63" s="10" t="str">
        <f t="shared" si="5"/>
        <v>يُعاد</v>
      </c>
      <c r="J63" s="10" t="str">
        <f t="shared" si="6"/>
        <v>يُعاد</v>
      </c>
      <c r="K63" s="10" t="str">
        <f t="shared" si="7"/>
        <v>يُعاد</v>
      </c>
      <c r="L63" s="11" t="str">
        <f t="shared" si="2"/>
        <v>-</v>
      </c>
    </row>
    <row r="64" spans="1:12" ht="31.5" x14ac:dyDescent="0.2">
      <c r="A64" s="4">
        <v>60</v>
      </c>
      <c r="B64" s="48" t="s">
        <v>146</v>
      </c>
      <c r="C64" s="52">
        <v>0</v>
      </c>
      <c r="D64" s="52">
        <v>0</v>
      </c>
      <c r="E64" s="52">
        <v>0</v>
      </c>
      <c r="F64" s="56">
        <v>0</v>
      </c>
      <c r="G64" s="9">
        <f t="shared" si="0"/>
        <v>0</v>
      </c>
      <c r="H64" s="10" t="str">
        <f t="shared" si="4"/>
        <v>يُعاد</v>
      </c>
      <c r="I64" s="10" t="str">
        <f t="shared" si="5"/>
        <v>يُعاد</v>
      </c>
      <c r="J64" s="10" t="str">
        <f t="shared" si="6"/>
        <v>يُعاد</v>
      </c>
      <c r="K64" s="10" t="str">
        <f t="shared" si="7"/>
        <v>يُعاد</v>
      </c>
      <c r="L64" s="11" t="str">
        <f t="shared" si="2"/>
        <v>-</v>
      </c>
    </row>
    <row r="65" spans="1:12" ht="31.5" x14ac:dyDescent="0.2">
      <c r="A65" s="4">
        <v>61</v>
      </c>
      <c r="B65" s="48" t="s">
        <v>405</v>
      </c>
      <c r="C65" s="52">
        <v>6</v>
      </c>
      <c r="D65" s="52">
        <v>8</v>
      </c>
      <c r="E65" s="52">
        <v>5</v>
      </c>
      <c r="F65" s="56">
        <v>6.3</v>
      </c>
      <c r="G65" s="9">
        <f t="shared" si="0"/>
        <v>25.3</v>
      </c>
      <c r="H65" s="10" t="str">
        <f t="shared" si="4"/>
        <v>مقبول</v>
      </c>
      <c r="I65" s="10" t="str">
        <f t="shared" si="5"/>
        <v>جيد جداً</v>
      </c>
      <c r="J65" s="10" t="str">
        <f t="shared" si="6"/>
        <v>مقبول</v>
      </c>
      <c r="K65" s="10" t="str">
        <f t="shared" si="7"/>
        <v>مقبول</v>
      </c>
      <c r="L65" s="11" t="str">
        <f t="shared" si="2"/>
        <v>مقبول</v>
      </c>
    </row>
    <row r="66" spans="1:12" ht="31.5" x14ac:dyDescent="0.2">
      <c r="A66" s="4">
        <v>62</v>
      </c>
      <c r="B66" s="48" t="s">
        <v>147</v>
      </c>
      <c r="C66" s="52">
        <v>0</v>
      </c>
      <c r="D66" s="52">
        <v>0</v>
      </c>
      <c r="E66" s="52">
        <v>0</v>
      </c>
      <c r="F66" s="56">
        <v>0</v>
      </c>
      <c r="G66" s="9">
        <f t="shared" si="0"/>
        <v>0</v>
      </c>
      <c r="H66" s="10" t="str">
        <f t="shared" si="4"/>
        <v>يُعاد</v>
      </c>
      <c r="I66" s="10" t="str">
        <f t="shared" si="5"/>
        <v>يُعاد</v>
      </c>
      <c r="J66" s="10" t="str">
        <f t="shared" si="6"/>
        <v>يُعاد</v>
      </c>
      <c r="K66" s="10" t="str">
        <f t="shared" si="7"/>
        <v>يُعاد</v>
      </c>
      <c r="L66" s="11" t="str">
        <f t="shared" si="2"/>
        <v>-</v>
      </c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rightToLeft="1" workbookViewId="0">
      <selection activeCell="F1" sqref="F1"/>
    </sheetView>
  </sheetViews>
  <sheetFormatPr defaultRowHeight="23.25" x14ac:dyDescent="0.35"/>
  <cols>
    <col min="2" max="2" width="32.25" style="32" customWidth="1"/>
    <col min="3" max="3" width="20" style="32" customWidth="1"/>
    <col min="4" max="4" width="17.125" style="32" customWidth="1"/>
    <col min="5" max="5" width="18.625" style="32" customWidth="1"/>
    <col min="6" max="6" width="17.5" style="32" customWidth="1"/>
    <col min="7" max="7" width="9" customWidth="1"/>
    <col min="8" max="8" width="18.5" bestFit="1" customWidth="1"/>
  </cols>
  <sheetData>
    <row r="1" spans="1:12" x14ac:dyDescent="0.35">
      <c r="B1"/>
      <c r="C1"/>
      <c r="D1" s="32" t="s">
        <v>412</v>
      </c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19.5" customHeight="1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151</v>
      </c>
      <c r="C5" s="51">
        <v>3</v>
      </c>
      <c r="D5" s="51">
        <v>3</v>
      </c>
      <c r="E5" s="53">
        <v>10</v>
      </c>
      <c r="F5" s="55">
        <v>10</v>
      </c>
      <c r="G5" s="9">
        <f t="shared" ref="G5:G39" si="0">SUM(C5:F5)</f>
        <v>26</v>
      </c>
      <c r="H5" s="10" t="str">
        <f>IF(C5&gt;=8.6,"ممتاز",IF(C5&gt;=7.5,"جيد جداً",IF(C5&gt;=6.5,"جيد",IF(C5&gt;=5,"مقبول","يُعاد"))))</f>
        <v>يُعاد</v>
      </c>
      <c r="I5" s="10" t="str">
        <f>IF(D5&gt;=8.6,"ممتاز",IF(D5&gt;=7.6,"جيد جداً",IF(D5&gt;=6.6,"جيد",IF(D5&gt;=5,"مقبول","يُعاد"))))</f>
        <v>يُعاد</v>
      </c>
      <c r="J5" s="10" t="str">
        <f>IF(E5&gt;=8.6,"ممتاز",IF(E5&gt;=7.6,"جيد جداً",IF(E5&gt;=6.6,"جيد",IF(E5&gt;=5,"مقبول","يُعاد"))))</f>
        <v>ممتاز</v>
      </c>
      <c r="K5" s="10" t="str">
        <f>IF(F5&gt;=8.6,"ممتاز",IF(F5&gt;=7.6,"جيد جداً",IF(F5&gt;=6.6,"جيد",IF(F5&gt;=5,"مقبول","يُعاد"))))</f>
        <v>ممتاز</v>
      </c>
      <c r="L5" s="11" t="str">
        <f>IF(G5&gt;=35,"ممتاز",IF(G5&gt;=31,"جيد جداً",IF(G5&gt;=26,"جيد",IF(G5&gt;=20,"مقبول","-"))))</f>
        <v>جيد</v>
      </c>
    </row>
    <row r="6" spans="1:12" ht="31.5" x14ac:dyDescent="0.2">
      <c r="A6" s="4">
        <v>2</v>
      </c>
      <c r="B6" s="48" t="s">
        <v>152</v>
      </c>
      <c r="C6" s="52">
        <v>10</v>
      </c>
      <c r="D6" s="52">
        <v>10</v>
      </c>
      <c r="E6" s="52">
        <v>10</v>
      </c>
      <c r="F6" s="56">
        <v>9</v>
      </c>
      <c r="G6" s="9">
        <f t="shared" si="0"/>
        <v>39</v>
      </c>
      <c r="H6" s="10" t="str">
        <f t="shared" ref="H6:K31" si="1">IF(C6&gt;=8.6,"ممتاز",IF(C6&gt;=7.6,"جيد جداً",IF(C6&gt;=6.6,"جيد",IF(C6&gt;=5,"مقبول","يُعاد"))))</f>
        <v>ممتاز</v>
      </c>
      <c r="I6" s="10" t="str">
        <f t="shared" si="1"/>
        <v>ممتاز</v>
      </c>
      <c r="J6" s="10" t="str">
        <f t="shared" si="1"/>
        <v>ممتاز</v>
      </c>
      <c r="K6" s="10" t="str">
        <f t="shared" si="1"/>
        <v>ممتاز</v>
      </c>
      <c r="L6" s="11" t="str">
        <f t="shared" ref="L6:L39" si="2">IF(G6&gt;=35,"ممتاز",IF(G6&gt;=31,"جيد جداً",IF(G6&gt;=26,"جيد",IF(G6&gt;=20,"مقبول","-"))))</f>
        <v>ممتاز</v>
      </c>
    </row>
    <row r="7" spans="1:12" ht="31.5" x14ac:dyDescent="0.2">
      <c r="A7" s="4">
        <v>3</v>
      </c>
      <c r="B7" s="48" t="s">
        <v>143</v>
      </c>
      <c r="C7" s="52">
        <v>10</v>
      </c>
      <c r="D7" s="52">
        <v>8</v>
      </c>
      <c r="E7" s="52">
        <v>10</v>
      </c>
      <c r="F7" s="56"/>
      <c r="G7" s="9">
        <f t="shared" si="0"/>
        <v>28</v>
      </c>
      <c r="H7" s="10" t="str">
        <f t="shared" si="1"/>
        <v>ممتاز</v>
      </c>
      <c r="I7" s="10" t="str">
        <f t="shared" si="1"/>
        <v>جيد جداً</v>
      </c>
      <c r="J7" s="10" t="str">
        <f t="shared" si="1"/>
        <v>ممتاز</v>
      </c>
      <c r="K7" s="10" t="str">
        <f t="shared" si="1"/>
        <v>يُعاد</v>
      </c>
      <c r="L7" s="11" t="str">
        <f t="shared" si="2"/>
        <v>جيد</v>
      </c>
    </row>
    <row r="8" spans="1:12" ht="31.5" x14ac:dyDescent="0.2">
      <c r="A8" s="4">
        <v>4</v>
      </c>
      <c r="B8" s="48" t="s">
        <v>12</v>
      </c>
      <c r="C8" s="52">
        <v>10</v>
      </c>
      <c r="D8" s="52">
        <v>8</v>
      </c>
      <c r="E8" s="52">
        <v>8</v>
      </c>
      <c r="F8" s="56">
        <v>9.6999999999999993</v>
      </c>
      <c r="G8" s="9">
        <f t="shared" si="0"/>
        <v>35.700000000000003</v>
      </c>
      <c r="H8" s="10" t="str">
        <f t="shared" si="1"/>
        <v>ممتاز</v>
      </c>
      <c r="I8" s="10" t="str">
        <f t="shared" si="1"/>
        <v>جيد جداً</v>
      </c>
      <c r="J8" s="10" t="str">
        <f t="shared" si="1"/>
        <v>جيد جداً</v>
      </c>
      <c r="K8" s="10" t="str">
        <f t="shared" si="1"/>
        <v>ممتاز</v>
      </c>
      <c r="L8" s="11" t="str">
        <f t="shared" si="2"/>
        <v>ممتاز</v>
      </c>
    </row>
    <row r="9" spans="1:12" ht="31.5" x14ac:dyDescent="0.2">
      <c r="A9" s="4">
        <v>5</v>
      </c>
      <c r="B9" s="48" t="s">
        <v>21</v>
      </c>
      <c r="C9" s="52">
        <v>10</v>
      </c>
      <c r="D9" s="52">
        <v>10</v>
      </c>
      <c r="E9" s="52">
        <v>9</v>
      </c>
      <c r="F9" s="56">
        <v>10</v>
      </c>
      <c r="G9" s="9">
        <f t="shared" si="0"/>
        <v>39</v>
      </c>
      <c r="H9" s="10" t="str">
        <f t="shared" si="1"/>
        <v>ممتاز</v>
      </c>
      <c r="I9" s="10" t="str">
        <f t="shared" si="1"/>
        <v>ممتاز</v>
      </c>
      <c r="J9" s="10" t="str">
        <f t="shared" si="1"/>
        <v>ممتاز</v>
      </c>
      <c r="K9" s="10" t="str">
        <f t="shared" si="1"/>
        <v>ممتاز</v>
      </c>
      <c r="L9" s="11" t="str">
        <f t="shared" si="2"/>
        <v>ممتاز</v>
      </c>
    </row>
    <row r="10" spans="1:12" ht="31.5" x14ac:dyDescent="0.2">
      <c r="A10" s="4">
        <v>6</v>
      </c>
      <c r="B10" s="48" t="s">
        <v>153</v>
      </c>
      <c r="C10" s="52">
        <v>10</v>
      </c>
      <c r="D10" s="52">
        <v>10</v>
      </c>
      <c r="E10" s="52">
        <v>10</v>
      </c>
      <c r="F10" s="56">
        <v>10</v>
      </c>
      <c r="G10" s="9">
        <f t="shared" si="0"/>
        <v>40</v>
      </c>
      <c r="H10" s="10" t="str">
        <f t="shared" si="1"/>
        <v>ممتاز</v>
      </c>
      <c r="I10" s="10" t="str">
        <f t="shared" si="1"/>
        <v>ممتاز</v>
      </c>
      <c r="J10" s="10" t="str">
        <f t="shared" si="1"/>
        <v>ممتاز</v>
      </c>
      <c r="K10" s="10" t="str">
        <f t="shared" si="1"/>
        <v>ممتاز</v>
      </c>
      <c r="L10" s="11" t="str">
        <f t="shared" si="2"/>
        <v>ممتاز</v>
      </c>
    </row>
    <row r="11" spans="1:12" ht="31.5" x14ac:dyDescent="0.2">
      <c r="A11" s="4">
        <v>7</v>
      </c>
      <c r="B11" s="48" t="s">
        <v>14</v>
      </c>
      <c r="C11" s="52">
        <v>10</v>
      </c>
      <c r="D11" s="52">
        <v>10</v>
      </c>
      <c r="E11" s="52">
        <v>10</v>
      </c>
      <c r="F11" s="56">
        <v>10</v>
      </c>
      <c r="G11" s="9">
        <f t="shared" si="0"/>
        <v>40</v>
      </c>
      <c r="H11" s="10" t="str">
        <f t="shared" si="1"/>
        <v>ممتاز</v>
      </c>
      <c r="I11" s="10" t="str">
        <f t="shared" si="1"/>
        <v>ممتاز</v>
      </c>
      <c r="J11" s="10" t="str">
        <f t="shared" si="1"/>
        <v>ممتاز</v>
      </c>
      <c r="K11" s="10" t="str">
        <f t="shared" si="1"/>
        <v>ممتاز</v>
      </c>
      <c r="L11" s="11" t="str">
        <f t="shared" si="2"/>
        <v>ممتاز</v>
      </c>
    </row>
    <row r="12" spans="1:12" ht="31.5" x14ac:dyDescent="0.2">
      <c r="A12" s="4">
        <v>8</v>
      </c>
      <c r="B12" s="48" t="s">
        <v>154</v>
      </c>
      <c r="C12" s="52"/>
      <c r="D12" s="52"/>
      <c r="E12" s="52"/>
      <c r="F12" s="56"/>
      <c r="G12" s="9">
        <f t="shared" si="0"/>
        <v>0</v>
      </c>
      <c r="H12" s="10" t="str">
        <f t="shared" si="1"/>
        <v>يُعاد</v>
      </c>
      <c r="I12" s="10" t="str">
        <f t="shared" si="1"/>
        <v>يُعاد</v>
      </c>
      <c r="J12" s="10" t="str">
        <f t="shared" si="1"/>
        <v>يُعاد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155</v>
      </c>
      <c r="C13" s="52"/>
      <c r="D13" s="52"/>
      <c r="E13" s="52"/>
      <c r="F13" s="56"/>
      <c r="G13" s="9">
        <f t="shared" si="0"/>
        <v>0</v>
      </c>
      <c r="H13" s="10" t="str">
        <f t="shared" si="1"/>
        <v>يُعاد</v>
      </c>
      <c r="I13" s="10" t="str">
        <f t="shared" si="1"/>
        <v>يُعاد</v>
      </c>
      <c r="J13" s="10" t="str">
        <f t="shared" si="1"/>
        <v>يُعاد</v>
      </c>
      <c r="K13" s="10" t="str">
        <f t="shared" si="1"/>
        <v>يُعاد</v>
      </c>
      <c r="L13" s="11" t="str">
        <f t="shared" si="2"/>
        <v>-</v>
      </c>
    </row>
    <row r="14" spans="1:12" ht="31.5" x14ac:dyDescent="0.2">
      <c r="A14" s="4">
        <v>10</v>
      </c>
      <c r="B14" s="48" t="s">
        <v>156</v>
      </c>
      <c r="C14" s="52">
        <v>10</v>
      </c>
      <c r="D14" s="52">
        <v>10</v>
      </c>
      <c r="E14" s="52">
        <v>10</v>
      </c>
      <c r="F14" s="56">
        <v>10</v>
      </c>
      <c r="G14" s="9">
        <f t="shared" si="0"/>
        <v>40</v>
      </c>
      <c r="H14" s="10" t="str">
        <f t="shared" si="1"/>
        <v>ممتاز</v>
      </c>
      <c r="I14" s="10" t="str">
        <f t="shared" si="1"/>
        <v>ممتاز</v>
      </c>
      <c r="J14" s="10" t="str">
        <f t="shared" si="1"/>
        <v>ممتاز</v>
      </c>
      <c r="K14" s="10" t="str">
        <f t="shared" si="1"/>
        <v>ممتاز</v>
      </c>
      <c r="L14" s="11" t="str">
        <f t="shared" si="2"/>
        <v>ممتاز</v>
      </c>
    </row>
    <row r="15" spans="1:12" ht="31.5" x14ac:dyDescent="0.2">
      <c r="A15" s="4">
        <v>11</v>
      </c>
      <c r="B15" s="48" t="s">
        <v>157</v>
      </c>
      <c r="C15" s="52"/>
      <c r="D15" s="52"/>
      <c r="E15" s="52"/>
      <c r="F15" s="56">
        <v>6</v>
      </c>
      <c r="G15" s="9">
        <f t="shared" si="0"/>
        <v>6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مقبول</v>
      </c>
      <c r="L15" s="11" t="str">
        <f t="shared" si="2"/>
        <v>-</v>
      </c>
    </row>
    <row r="16" spans="1:12" ht="31.5" x14ac:dyDescent="0.2">
      <c r="A16" s="4">
        <v>12</v>
      </c>
      <c r="B16" s="48" t="s">
        <v>158</v>
      </c>
      <c r="C16" s="52"/>
      <c r="D16" s="52"/>
      <c r="E16" s="52"/>
      <c r="F16" s="56"/>
      <c r="G16" s="9">
        <f t="shared" si="0"/>
        <v>0</v>
      </c>
      <c r="H16" s="10" t="str">
        <f t="shared" si="1"/>
        <v>يُعاد</v>
      </c>
      <c r="I16" s="10" t="str">
        <f t="shared" si="1"/>
        <v>يُعاد</v>
      </c>
      <c r="J16" s="10" t="str">
        <f t="shared" si="1"/>
        <v>يُعاد</v>
      </c>
      <c r="K16" s="10" t="str">
        <f t="shared" si="1"/>
        <v>يُعاد</v>
      </c>
      <c r="L16" s="11" t="str">
        <f t="shared" si="2"/>
        <v>-</v>
      </c>
    </row>
    <row r="17" spans="1:12" ht="31.5" x14ac:dyDescent="0.2">
      <c r="A17" s="4">
        <v>13</v>
      </c>
      <c r="B17" s="48" t="s">
        <v>159</v>
      </c>
      <c r="C17" s="52">
        <v>10</v>
      </c>
      <c r="D17" s="52">
        <v>10</v>
      </c>
      <c r="E17" s="52">
        <v>10</v>
      </c>
      <c r="F17" s="56">
        <v>10</v>
      </c>
      <c r="G17" s="9">
        <f t="shared" si="0"/>
        <v>40</v>
      </c>
      <c r="H17" s="10" t="str">
        <f t="shared" si="1"/>
        <v>ممتاز</v>
      </c>
      <c r="I17" s="10" t="str">
        <f t="shared" si="1"/>
        <v>ممتاز</v>
      </c>
      <c r="J17" s="10" t="str">
        <f t="shared" si="1"/>
        <v>ممتاز</v>
      </c>
      <c r="K17" s="10" t="str">
        <f t="shared" si="1"/>
        <v>ممتاز</v>
      </c>
      <c r="L17" s="11" t="str">
        <f t="shared" si="2"/>
        <v>ممتاز</v>
      </c>
    </row>
    <row r="18" spans="1:12" ht="31.5" x14ac:dyDescent="0.2">
      <c r="A18" s="4">
        <v>14</v>
      </c>
      <c r="B18" s="48" t="s">
        <v>18</v>
      </c>
      <c r="C18" s="52">
        <v>8</v>
      </c>
      <c r="D18" s="52">
        <v>9</v>
      </c>
      <c r="E18" s="52">
        <v>7</v>
      </c>
      <c r="F18" s="56"/>
      <c r="G18" s="9">
        <f t="shared" si="0"/>
        <v>24</v>
      </c>
      <c r="H18" s="10" t="str">
        <f t="shared" si="1"/>
        <v>جيد جداً</v>
      </c>
      <c r="I18" s="10" t="str">
        <f t="shared" si="1"/>
        <v>ممتاز</v>
      </c>
      <c r="J18" s="10" t="str">
        <f t="shared" si="1"/>
        <v>جيد</v>
      </c>
      <c r="K18" s="10" t="str">
        <f t="shared" si="1"/>
        <v>يُعاد</v>
      </c>
      <c r="L18" s="11" t="str">
        <f t="shared" si="2"/>
        <v>مقبول</v>
      </c>
    </row>
    <row r="19" spans="1:12" ht="31.5" x14ac:dyDescent="0.2">
      <c r="A19" s="4">
        <v>15</v>
      </c>
      <c r="B19" s="48" t="s">
        <v>25</v>
      </c>
      <c r="C19" s="52"/>
      <c r="D19" s="52"/>
      <c r="E19" s="52"/>
      <c r="F19" s="56"/>
      <c r="G19" s="9">
        <f t="shared" si="0"/>
        <v>0</v>
      </c>
      <c r="H19" s="10" t="str">
        <f t="shared" si="1"/>
        <v>يُعاد</v>
      </c>
      <c r="I19" s="10" t="str">
        <f t="shared" si="1"/>
        <v>يُعاد</v>
      </c>
      <c r="J19" s="10" t="str">
        <f t="shared" si="1"/>
        <v>يُعاد</v>
      </c>
      <c r="K19" s="10" t="str">
        <f t="shared" si="1"/>
        <v>يُعاد</v>
      </c>
      <c r="L19" s="11" t="str">
        <f t="shared" si="2"/>
        <v>-</v>
      </c>
    </row>
    <row r="20" spans="1:12" ht="31.5" x14ac:dyDescent="0.2">
      <c r="A20" s="4">
        <v>16</v>
      </c>
      <c r="B20" s="48" t="s">
        <v>160</v>
      </c>
      <c r="C20" s="52">
        <v>10</v>
      </c>
      <c r="D20" s="52">
        <v>8</v>
      </c>
      <c r="E20" s="52">
        <v>10</v>
      </c>
      <c r="F20" s="56">
        <v>9.8000000000000007</v>
      </c>
      <c r="G20" s="9">
        <f t="shared" si="0"/>
        <v>37.799999999999997</v>
      </c>
      <c r="H20" s="10" t="str">
        <f t="shared" si="1"/>
        <v>ممتاز</v>
      </c>
      <c r="I20" s="10" t="str">
        <f t="shared" si="1"/>
        <v>جيد جداً</v>
      </c>
      <c r="J20" s="10" t="str">
        <f t="shared" si="1"/>
        <v>ممتاز</v>
      </c>
      <c r="K20" s="10" t="str">
        <f t="shared" si="1"/>
        <v>ممتاز</v>
      </c>
      <c r="L20" s="11" t="str">
        <f t="shared" si="2"/>
        <v>ممتاز</v>
      </c>
    </row>
    <row r="21" spans="1:12" ht="31.5" x14ac:dyDescent="0.2">
      <c r="A21" s="4">
        <v>17</v>
      </c>
      <c r="B21" s="48" t="s">
        <v>161</v>
      </c>
      <c r="C21" s="52">
        <v>10</v>
      </c>
      <c r="D21" s="52">
        <v>5</v>
      </c>
      <c r="E21" s="52">
        <v>7</v>
      </c>
      <c r="F21" s="56"/>
      <c r="G21" s="9">
        <f t="shared" si="0"/>
        <v>22</v>
      </c>
      <c r="H21" s="10" t="str">
        <f t="shared" si="1"/>
        <v>ممتاز</v>
      </c>
      <c r="I21" s="10" t="str">
        <f t="shared" si="1"/>
        <v>مقبول</v>
      </c>
      <c r="J21" s="10" t="str">
        <f t="shared" si="1"/>
        <v>جيد</v>
      </c>
      <c r="K21" s="10" t="str">
        <f t="shared" si="1"/>
        <v>يُعاد</v>
      </c>
      <c r="L21" s="11" t="str">
        <f t="shared" si="2"/>
        <v>مقبول</v>
      </c>
    </row>
    <row r="22" spans="1:12" ht="31.5" x14ac:dyDescent="0.2">
      <c r="A22" s="4">
        <v>18</v>
      </c>
      <c r="B22" s="48" t="s">
        <v>162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9</v>
      </c>
      <c r="C23" s="52">
        <v>10</v>
      </c>
      <c r="D23" s="52">
        <v>7</v>
      </c>
      <c r="E23" s="52">
        <v>10</v>
      </c>
      <c r="F23" s="56"/>
      <c r="G23" s="9">
        <f t="shared" si="0"/>
        <v>27</v>
      </c>
      <c r="H23" s="10" t="str">
        <f t="shared" si="1"/>
        <v>ممتاز</v>
      </c>
      <c r="I23" s="10" t="str">
        <f t="shared" si="1"/>
        <v>جيد</v>
      </c>
      <c r="J23" s="10" t="str">
        <f t="shared" si="1"/>
        <v>ممتاز</v>
      </c>
      <c r="K23" s="10" t="str">
        <f t="shared" si="1"/>
        <v>يُعاد</v>
      </c>
      <c r="L23" s="11" t="str">
        <f t="shared" si="2"/>
        <v>جيد</v>
      </c>
    </row>
    <row r="24" spans="1:12" ht="31.5" x14ac:dyDescent="0.2">
      <c r="A24" s="4">
        <v>20</v>
      </c>
      <c r="B24" s="48" t="s">
        <v>163</v>
      </c>
      <c r="C24" s="52"/>
      <c r="D24" s="52"/>
      <c r="E24" s="52"/>
      <c r="F24" s="56"/>
      <c r="G24" s="9">
        <f t="shared" si="0"/>
        <v>0</v>
      </c>
      <c r="H24" s="10" t="str">
        <f t="shared" si="1"/>
        <v>يُعاد</v>
      </c>
      <c r="I24" s="10" t="str">
        <f t="shared" si="1"/>
        <v>يُعاد</v>
      </c>
      <c r="J24" s="10" t="str">
        <f t="shared" si="1"/>
        <v>يُعاد</v>
      </c>
      <c r="K24" s="10" t="str">
        <f t="shared" si="1"/>
        <v>يُعاد</v>
      </c>
      <c r="L24" s="11" t="str">
        <f t="shared" si="2"/>
        <v>-</v>
      </c>
    </row>
    <row r="25" spans="1:12" ht="31.5" x14ac:dyDescent="0.2">
      <c r="A25" s="4">
        <v>21</v>
      </c>
      <c r="B25" s="48" t="s">
        <v>17</v>
      </c>
      <c r="C25" s="52">
        <v>9</v>
      </c>
      <c r="D25" s="52">
        <v>7</v>
      </c>
      <c r="E25" s="52">
        <v>8</v>
      </c>
      <c r="F25" s="56"/>
      <c r="G25" s="9">
        <f t="shared" si="0"/>
        <v>24</v>
      </c>
      <c r="H25" s="10" t="str">
        <f t="shared" si="1"/>
        <v>ممتاز</v>
      </c>
      <c r="I25" s="10" t="str">
        <f t="shared" si="1"/>
        <v>جيد</v>
      </c>
      <c r="J25" s="10" t="str">
        <f t="shared" si="1"/>
        <v>جيد جداً</v>
      </c>
      <c r="K25" s="10" t="str">
        <f t="shared" si="1"/>
        <v>يُعاد</v>
      </c>
      <c r="L25" s="11" t="str">
        <f t="shared" si="2"/>
        <v>مقبول</v>
      </c>
    </row>
    <row r="26" spans="1:12" ht="31.5" x14ac:dyDescent="0.2">
      <c r="A26" s="4">
        <v>22</v>
      </c>
      <c r="B26" s="48" t="s">
        <v>164</v>
      </c>
      <c r="C26" s="52">
        <v>10</v>
      </c>
      <c r="D26" s="52">
        <v>8</v>
      </c>
      <c r="E26" s="52">
        <v>10</v>
      </c>
      <c r="F26" s="56">
        <v>9</v>
      </c>
      <c r="G26" s="9">
        <f t="shared" si="0"/>
        <v>37</v>
      </c>
      <c r="H26" s="10" t="str">
        <f t="shared" si="1"/>
        <v>ممتاز</v>
      </c>
      <c r="I26" s="10" t="str">
        <f t="shared" si="1"/>
        <v>جيد جداً</v>
      </c>
      <c r="J26" s="10" t="str">
        <f t="shared" si="1"/>
        <v>ممتاز</v>
      </c>
      <c r="K26" s="10" t="str">
        <f t="shared" si="1"/>
        <v>ممتاز</v>
      </c>
      <c r="L26" s="11" t="str">
        <f t="shared" si="2"/>
        <v>ممتاز</v>
      </c>
    </row>
    <row r="27" spans="1:12" ht="31.5" x14ac:dyDescent="0.2">
      <c r="A27" s="4">
        <v>23</v>
      </c>
      <c r="B27" s="48" t="s">
        <v>165</v>
      </c>
      <c r="C27" s="52">
        <v>5</v>
      </c>
      <c r="D27" s="52">
        <v>5</v>
      </c>
      <c r="E27" s="52">
        <v>5</v>
      </c>
      <c r="F27" s="56"/>
      <c r="G27" s="9">
        <f t="shared" si="0"/>
        <v>15</v>
      </c>
      <c r="H27" s="10" t="str">
        <f t="shared" si="1"/>
        <v>مقبول</v>
      </c>
      <c r="I27" s="10" t="str">
        <f t="shared" si="1"/>
        <v>مقبول</v>
      </c>
      <c r="J27" s="10" t="str">
        <f t="shared" si="1"/>
        <v>مقبول</v>
      </c>
      <c r="K27" s="10" t="str">
        <f t="shared" si="1"/>
        <v>يُعاد</v>
      </c>
      <c r="L27" s="11" t="str">
        <f t="shared" si="2"/>
        <v>-</v>
      </c>
    </row>
    <row r="28" spans="1:12" ht="31.5" x14ac:dyDescent="0.2">
      <c r="A28" s="4">
        <v>24</v>
      </c>
      <c r="B28" s="48" t="s">
        <v>166</v>
      </c>
      <c r="C28" s="52">
        <v>10</v>
      </c>
      <c r="D28" s="52">
        <v>10</v>
      </c>
      <c r="E28" s="52">
        <v>10</v>
      </c>
      <c r="F28" s="56">
        <v>10</v>
      </c>
      <c r="G28" s="9">
        <f t="shared" si="0"/>
        <v>40</v>
      </c>
      <c r="H28" s="10" t="str">
        <f t="shared" si="1"/>
        <v>ممتاز</v>
      </c>
      <c r="I28" s="10" t="str">
        <f t="shared" si="1"/>
        <v>ممتاز</v>
      </c>
      <c r="J28" s="10" t="str">
        <f t="shared" si="1"/>
        <v>ممتاز</v>
      </c>
      <c r="K28" s="10" t="str">
        <f t="shared" si="1"/>
        <v>ممتاز</v>
      </c>
      <c r="L28" s="11" t="str">
        <f t="shared" si="2"/>
        <v>ممتاز</v>
      </c>
    </row>
    <row r="29" spans="1:12" ht="31.5" x14ac:dyDescent="0.2">
      <c r="A29" s="4">
        <v>25</v>
      </c>
      <c r="B29" s="48" t="s">
        <v>167</v>
      </c>
      <c r="C29" s="52">
        <v>6</v>
      </c>
      <c r="D29" s="52">
        <v>6</v>
      </c>
      <c r="E29" s="52">
        <v>6</v>
      </c>
      <c r="F29" s="56">
        <v>9.5</v>
      </c>
      <c r="G29" s="9">
        <f t="shared" si="0"/>
        <v>27.5</v>
      </c>
      <c r="H29" s="10" t="str">
        <f t="shared" si="1"/>
        <v>مقبول</v>
      </c>
      <c r="I29" s="10" t="str">
        <f t="shared" si="1"/>
        <v>مقبول</v>
      </c>
      <c r="J29" s="10" t="str">
        <f t="shared" si="1"/>
        <v>مقبول</v>
      </c>
      <c r="K29" s="10" t="str">
        <f t="shared" si="1"/>
        <v>ممتاز</v>
      </c>
      <c r="L29" s="11" t="str">
        <f t="shared" si="2"/>
        <v>جيد</v>
      </c>
    </row>
    <row r="30" spans="1:12" ht="31.5" x14ac:dyDescent="0.2">
      <c r="A30" s="4">
        <v>26</v>
      </c>
      <c r="B30" s="48" t="s">
        <v>168</v>
      </c>
      <c r="C30" s="52">
        <v>10</v>
      </c>
      <c r="D30" s="52">
        <v>8</v>
      </c>
      <c r="E30" s="52">
        <v>10</v>
      </c>
      <c r="F30" s="56">
        <v>10</v>
      </c>
      <c r="G30" s="9">
        <f t="shared" si="0"/>
        <v>38</v>
      </c>
      <c r="H30" s="10" t="str">
        <f t="shared" si="1"/>
        <v>ممتاز</v>
      </c>
      <c r="I30" s="10" t="str">
        <f t="shared" si="1"/>
        <v>جيد جداً</v>
      </c>
      <c r="J30" s="10" t="str">
        <f t="shared" si="1"/>
        <v>ممتاز</v>
      </c>
      <c r="K30" s="10" t="str">
        <f t="shared" si="1"/>
        <v>ممتاز</v>
      </c>
      <c r="L30" s="11" t="str">
        <f t="shared" si="2"/>
        <v>ممتاز</v>
      </c>
    </row>
    <row r="31" spans="1:12" ht="31.5" x14ac:dyDescent="0.2">
      <c r="A31" s="4">
        <v>27</v>
      </c>
      <c r="B31" s="48" t="s">
        <v>8</v>
      </c>
      <c r="C31" s="52">
        <v>10</v>
      </c>
      <c r="D31" s="52">
        <v>8</v>
      </c>
      <c r="E31" s="52">
        <v>7</v>
      </c>
      <c r="F31" s="56">
        <v>9.5</v>
      </c>
      <c r="G31" s="9">
        <f t="shared" si="0"/>
        <v>34.5</v>
      </c>
      <c r="H31" s="10" t="str">
        <f t="shared" si="1"/>
        <v>ممتاز</v>
      </c>
      <c r="I31" s="10" t="str">
        <f t="shared" si="1"/>
        <v>جيد جداً</v>
      </c>
      <c r="J31" s="10" t="str">
        <f t="shared" si="1"/>
        <v>جيد</v>
      </c>
      <c r="K31" s="10" t="str">
        <f t="shared" si="1"/>
        <v>ممتاز</v>
      </c>
      <c r="L31" s="11" t="str">
        <f t="shared" si="2"/>
        <v>جيد جداً</v>
      </c>
    </row>
    <row r="32" spans="1:12" ht="31.5" x14ac:dyDescent="0.2">
      <c r="A32" s="4">
        <v>28</v>
      </c>
      <c r="B32" s="48" t="s">
        <v>169</v>
      </c>
      <c r="C32" s="52"/>
      <c r="D32" s="52"/>
      <c r="E32" s="52"/>
      <c r="F32" s="56"/>
      <c r="G32" s="9">
        <f t="shared" si="0"/>
        <v>0</v>
      </c>
      <c r="H32" s="10" t="str">
        <f t="shared" ref="H32:K39" si="3">IF(C32&gt;=8.6,"ممتاز",IF(C32&gt;=7.6,"جيد جداً",IF(C32&gt;=6.6,"جيد",IF(C32&gt;=5,"مقبول","يُعاد"))))</f>
        <v>يُعاد</v>
      </c>
      <c r="I32" s="10" t="str">
        <f t="shared" si="3"/>
        <v>يُعاد</v>
      </c>
      <c r="J32" s="10" t="str">
        <f t="shared" si="3"/>
        <v>يُعاد</v>
      </c>
      <c r="K32" s="10" t="str">
        <f t="shared" si="3"/>
        <v>يُعاد</v>
      </c>
      <c r="L32" s="11" t="str">
        <f t="shared" si="2"/>
        <v>-</v>
      </c>
    </row>
    <row r="33" spans="1:12" ht="31.5" x14ac:dyDescent="0.2">
      <c r="A33" s="4">
        <v>29</v>
      </c>
      <c r="B33" s="48" t="s">
        <v>10</v>
      </c>
      <c r="C33" s="52">
        <v>10</v>
      </c>
      <c r="D33" s="52">
        <v>10</v>
      </c>
      <c r="E33" s="52">
        <v>10</v>
      </c>
      <c r="F33" s="56">
        <v>10</v>
      </c>
      <c r="G33" s="9">
        <f t="shared" si="0"/>
        <v>40</v>
      </c>
      <c r="H33" s="10" t="str">
        <f t="shared" si="3"/>
        <v>ممتاز</v>
      </c>
      <c r="I33" s="10" t="str">
        <f t="shared" si="3"/>
        <v>ممتاز</v>
      </c>
      <c r="J33" s="10" t="str">
        <f t="shared" si="3"/>
        <v>ممتاز</v>
      </c>
      <c r="K33" s="10" t="str">
        <f t="shared" si="3"/>
        <v>ممتاز</v>
      </c>
      <c r="L33" s="11" t="str">
        <f t="shared" si="2"/>
        <v>ممتاز</v>
      </c>
    </row>
    <row r="34" spans="1:12" ht="31.5" x14ac:dyDescent="0.2">
      <c r="A34" s="4">
        <v>30</v>
      </c>
      <c r="B34" s="48" t="s">
        <v>170</v>
      </c>
      <c r="C34" s="52">
        <v>10</v>
      </c>
      <c r="D34" s="52">
        <v>10</v>
      </c>
      <c r="E34" s="52">
        <v>10</v>
      </c>
      <c r="F34" s="56">
        <v>9</v>
      </c>
      <c r="G34" s="9">
        <f t="shared" si="0"/>
        <v>39</v>
      </c>
      <c r="H34" s="10" t="str">
        <f t="shared" si="3"/>
        <v>ممتاز</v>
      </c>
      <c r="I34" s="10" t="str">
        <f t="shared" si="3"/>
        <v>ممتاز</v>
      </c>
      <c r="J34" s="10" t="str">
        <f t="shared" si="3"/>
        <v>ممتاز</v>
      </c>
      <c r="K34" s="10" t="str">
        <f t="shared" si="3"/>
        <v>ممتاز</v>
      </c>
      <c r="L34" s="11" t="str">
        <f t="shared" si="2"/>
        <v>ممتاز</v>
      </c>
    </row>
    <row r="35" spans="1:12" ht="31.5" x14ac:dyDescent="0.2">
      <c r="A35" s="4">
        <v>31</v>
      </c>
      <c r="B35" s="48" t="s">
        <v>171</v>
      </c>
      <c r="C35" s="52"/>
      <c r="D35" s="52"/>
      <c r="E35" s="52"/>
      <c r="F35" s="56"/>
      <c r="G35" s="9">
        <f t="shared" si="0"/>
        <v>0</v>
      </c>
      <c r="H35" s="10" t="str">
        <f t="shared" si="3"/>
        <v>يُعاد</v>
      </c>
      <c r="I35" s="10" t="str">
        <f t="shared" si="3"/>
        <v>يُعاد</v>
      </c>
      <c r="J35" s="10" t="str">
        <f t="shared" si="3"/>
        <v>يُعاد</v>
      </c>
      <c r="K35" s="10" t="str">
        <f t="shared" si="3"/>
        <v>يُعاد</v>
      </c>
      <c r="L35" s="11" t="str">
        <f t="shared" si="2"/>
        <v>-</v>
      </c>
    </row>
    <row r="36" spans="1:12" ht="31.5" x14ac:dyDescent="0.2">
      <c r="A36" s="4">
        <v>32</v>
      </c>
      <c r="B36" s="48" t="s">
        <v>172</v>
      </c>
      <c r="C36" s="52"/>
      <c r="D36" s="52"/>
      <c r="E36" s="52"/>
      <c r="F36" s="56"/>
      <c r="G36" s="9">
        <f t="shared" si="0"/>
        <v>0</v>
      </c>
      <c r="H36" s="10" t="str">
        <f t="shared" si="3"/>
        <v>يُعاد</v>
      </c>
      <c r="I36" s="10" t="str">
        <f t="shared" si="3"/>
        <v>يُعاد</v>
      </c>
      <c r="J36" s="10" t="str">
        <f t="shared" si="3"/>
        <v>يُعاد</v>
      </c>
      <c r="K36" s="10" t="str">
        <f t="shared" si="3"/>
        <v>يُعاد</v>
      </c>
      <c r="L36" s="11" t="str">
        <f t="shared" si="2"/>
        <v>-</v>
      </c>
    </row>
    <row r="37" spans="1:12" ht="31.5" x14ac:dyDescent="0.2">
      <c r="A37" s="4">
        <v>33</v>
      </c>
      <c r="B37" s="48" t="s">
        <v>26</v>
      </c>
      <c r="C37" s="52"/>
      <c r="D37" s="52"/>
      <c r="E37" s="52"/>
      <c r="F37" s="56"/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31.5" x14ac:dyDescent="0.2">
      <c r="A38" s="4">
        <v>34</v>
      </c>
      <c r="B38" s="48" t="s">
        <v>96</v>
      </c>
      <c r="C38" s="52">
        <v>10</v>
      </c>
      <c r="D38" s="52">
        <v>7</v>
      </c>
      <c r="E38" s="52">
        <v>10</v>
      </c>
      <c r="F38" s="56">
        <v>9.5</v>
      </c>
      <c r="G38" s="9">
        <f t="shared" si="0"/>
        <v>36.5</v>
      </c>
      <c r="H38" s="10" t="str">
        <f t="shared" si="3"/>
        <v>ممتاز</v>
      </c>
      <c r="I38" s="10" t="str">
        <f t="shared" si="3"/>
        <v>جيد</v>
      </c>
      <c r="J38" s="10" t="str">
        <f t="shared" si="3"/>
        <v>ممتاز</v>
      </c>
      <c r="K38" s="10" t="str">
        <f t="shared" si="3"/>
        <v>ممتاز</v>
      </c>
      <c r="L38" s="11" t="str">
        <f t="shared" si="2"/>
        <v>ممتاز</v>
      </c>
    </row>
    <row r="39" spans="1:12" ht="32.25" thickBot="1" x14ac:dyDescent="0.25">
      <c r="A39" s="4">
        <v>35</v>
      </c>
      <c r="B39" s="60" t="s">
        <v>173</v>
      </c>
      <c r="C39" s="52">
        <v>10</v>
      </c>
      <c r="D39" s="52">
        <v>7</v>
      </c>
      <c r="E39" s="52">
        <v>8</v>
      </c>
      <c r="F39" s="56">
        <v>10</v>
      </c>
      <c r="G39" s="9">
        <f t="shared" si="0"/>
        <v>35</v>
      </c>
      <c r="H39" s="10" t="str">
        <f t="shared" si="3"/>
        <v>ممتاز</v>
      </c>
      <c r="I39" s="10" t="str">
        <f t="shared" si="3"/>
        <v>جيد</v>
      </c>
      <c r="J39" s="10" t="str">
        <f t="shared" si="3"/>
        <v>جيد جداً</v>
      </c>
      <c r="K39" s="10" t="str">
        <f t="shared" si="3"/>
        <v>ممتاز</v>
      </c>
      <c r="L39" s="11" t="str">
        <f t="shared" si="2"/>
        <v>ممتاز</v>
      </c>
    </row>
    <row r="40" spans="1:12" x14ac:dyDescent="0.35">
      <c r="A40" s="32"/>
      <c r="D40"/>
      <c r="E40"/>
      <c r="F40"/>
    </row>
    <row r="41" spans="1:12" x14ac:dyDescent="0.35">
      <c r="A41" s="32"/>
      <c r="D41"/>
      <c r="E41"/>
      <c r="F41"/>
    </row>
    <row r="42" spans="1:12" x14ac:dyDescent="0.35">
      <c r="A42" s="32"/>
      <c r="D42"/>
      <c r="E42"/>
      <c r="F42"/>
    </row>
    <row r="43" spans="1:12" x14ac:dyDescent="0.35">
      <c r="A43" s="32"/>
      <c r="D43"/>
      <c r="E43"/>
      <c r="F43"/>
    </row>
    <row r="44" spans="1:12" x14ac:dyDescent="0.35">
      <c r="A44" s="32"/>
      <c r="D44"/>
      <c r="E44"/>
      <c r="F44"/>
    </row>
    <row r="45" spans="1:12" x14ac:dyDescent="0.35">
      <c r="A45" s="32"/>
      <c r="D45"/>
      <c r="E45"/>
      <c r="F45"/>
    </row>
    <row r="46" spans="1:12" x14ac:dyDescent="0.35">
      <c r="A46" s="32"/>
      <c r="D46"/>
      <c r="E46"/>
      <c r="F46"/>
    </row>
    <row r="47" spans="1:12" x14ac:dyDescent="0.35">
      <c r="A47" s="32"/>
      <c r="D47"/>
      <c r="E47"/>
      <c r="F47"/>
    </row>
    <row r="48" spans="1:12" x14ac:dyDescent="0.35">
      <c r="A48" s="32"/>
      <c r="D48"/>
      <c r="E48"/>
      <c r="F48"/>
    </row>
    <row r="49" spans="1:6" x14ac:dyDescent="0.35">
      <c r="A49" s="32"/>
      <c r="D49"/>
      <c r="E49"/>
      <c r="F49"/>
    </row>
    <row r="50" spans="1:6" x14ac:dyDescent="0.35">
      <c r="A50" s="32"/>
      <c r="D50"/>
      <c r="E50"/>
      <c r="F50"/>
    </row>
    <row r="51" spans="1:6" x14ac:dyDescent="0.35">
      <c r="A51" s="32"/>
      <c r="D51"/>
      <c r="E51"/>
      <c r="F51"/>
    </row>
    <row r="52" spans="1:6" x14ac:dyDescent="0.35">
      <c r="A52" s="32"/>
      <c r="D52"/>
      <c r="E52"/>
      <c r="F52"/>
    </row>
    <row r="53" spans="1:6" x14ac:dyDescent="0.35">
      <c r="A53" s="32"/>
      <c r="D53"/>
      <c r="E53"/>
      <c r="F53"/>
    </row>
    <row r="54" spans="1:6" x14ac:dyDescent="0.35">
      <c r="A54" s="32"/>
      <c r="D54"/>
      <c r="E54"/>
      <c r="F54"/>
    </row>
    <row r="55" spans="1:6" x14ac:dyDescent="0.35">
      <c r="A55" s="32"/>
      <c r="D55"/>
      <c r="E55"/>
      <c r="F55"/>
    </row>
    <row r="56" spans="1:6" x14ac:dyDescent="0.35">
      <c r="A56" s="32"/>
      <c r="D56"/>
      <c r="E56"/>
      <c r="F56"/>
    </row>
    <row r="57" spans="1:6" x14ac:dyDescent="0.35">
      <c r="A57" s="32"/>
      <c r="D57"/>
      <c r="E57"/>
      <c r="F57"/>
    </row>
    <row r="58" spans="1:6" x14ac:dyDescent="0.35">
      <c r="A58" s="32"/>
      <c r="D58"/>
      <c r="E58"/>
      <c r="F58"/>
    </row>
    <row r="59" spans="1:6" x14ac:dyDescent="0.35">
      <c r="A59" s="32"/>
      <c r="D59"/>
      <c r="E59"/>
      <c r="F59"/>
    </row>
    <row r="60" spans="1:6" x14ac:dyDescent="0.35">
      <c r="A60" s="32"/>
      <c r="D60"/>
      <c r="E60"/>
      <c r="F60"/>
    </row>
    <row r="61" spans="1:6" x14ac:dyDescent="0.35">
      <c r="A61" s="32"/>
      <c r="D61"/>
      <c r="E61"/>
      <c r="F61"/>
    </row>
    <row r="62" spans="1:6" x14ac:dyDescent="0.35">
      <c r="A62" s="32"/>
      <c r="D62"/>
      <c r="E62"/>
      <c r="F62"/>
    </row>
    <row r="63" spans="1:6" x14ac:dyDescent="0.35">
      <c r="A63" s="32"/>
      <c r="D63"/>
      <c r="E63"/>
      <c r="F63"/>
    </row>
    <row r="64" spans="1:6" x14ac:dyDescent="0.35">
      <c r="A64" s="32"/>
      <c r="D64"/>
      <c r="E64"/>
      <c r="F64"/>
    </row>
    <row r="65" spans="1:6" x14ac:dyDescent="0.35">
      <c r="A65" s="32"/>
      <c r="D65"/>
      <c r="E65"/>
      <c r="F65"/>
    </row>
    <row r="66" spans="1:6" x14ac:dyDescent="0.35">
      <c r="A66" s="32"/>
      <c r="D66"/>
      <c r="E66"/>
      <c r="F66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rightToLeft="1" view="pageBreakPreview" zoomScale="60" zoomScaleNormal="70" workbookViewId="0">
      <selection activeCell="Q7" sqref="A1:XFD1048576"/>
    </sheetView>
  </sheetViews>
  <sheetFormatPr defaultRowHeight="30" x14ac:dyDescent="0.4"/>
  <cols>
    <col min="2" max="2" width="40" style="49" customWidth="1"/>
    <col min="3" max="6" width="9" style="49"/>
    <col min="7" max="7" width="9" customWidth="1"/>
    <col min="8" max="8" width="18.5" bestFit="1" customWidth="1"/>
  </cols>
  <sheetData>
    <row r="1" spans="1:12" ht="23.25" x14ac:dyDescent="0.35">
      <c r="B1"/>
      <c r="C1"/>
      <c r="D1" s="32" t="s">
        <v>407</v>
      </c>
      <c r="E1" s="32"/>
      <c r="F1" s="32"/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19.5" customHeight="1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174</v>
      </c>
      <c r="C5" s="51">
        <v>10</v>
      </c>
      <c r="D5" s="51">
        <v>9</v>
      </c>
      <c r="E5" s="53">
        <v>6</v>
      </c>
      <c r="F5" s="55">
        <v>9.8000000000000007</v>
      </c>
      <c r="G5" s="9">
        <f t="shared" ref="G5:G48" si="0">SUM(C5:F5)</f>
        <v>34.799999999999997</v>
      </c>
      <c r="H5" s="10" t="str">
        <f>IF(C5&gt;=8.6,"ممتاز",IF(C5&gt;=7.5,"جيد جداً",IF(C5&gt;=6.5,"جيد",IF(C5&gt;=5,"مقبول","يُعاد"))))</f>
        <v>ممتاز</v>
      </c>
      <c r="I5" s="10" t="str">
        <f>IF(D5&gt;=8.6,"ممتاز",IF(D5&gt;=7.6,"جيد جداً",IF(D5&gt;=6.6,"جيد",IF(D5&gt;=5,"مقبول","يُعاد"))))</f>
        <v>ممتاز</v>
      </c>
      <c r="J5" s="10" t="str">
        <f>IF(E5&gt;=8.6,"ممتاز",IF(E5&gt;=7.6,"جيد جداً",IF(E5&gt;=6.6,"جيد",IF(E5&gt;=5,"مقبول","يُعاد"))))</f>
        <v>مقبول</v>
      </c>
      <c r="K5" s="10" t="str">
        <f>IF(F5&gt;=8.6,"ممتاز",IF(F5&gt;=7.6,"جيد جداً",IF(F5&gt;=6.6,"جيد",IF(F5&gt;=5,"مقبول","يُعاد"))))</f>
        <v>ممتاز</v>
      </c>
      <c r="L5" s="11" t="str">
        <f>IF(G5&gt;=35,"ممتاز",IF(G5&gt;=31,"جيد جداً",IF(G5&gt;=26,"جيد",IF(G5&gt;=20,"مقبول","-"))))</f>
        <v>جيد جداً</v>
      </c>
    </row>
    <row r="6" spans="1:12" ht="31.5" x14ac:dyDescent="0.2">
      <c r="A6" s="4">
        <v>2</v>
      </c>
      <c r="B6" s="48" t="s">
        <v>175</v>
      </c>
      <c r="C6" s="52">
        <v>7</v>
      </c>
      <c r="D6" s="52">
        <v>5</v>
      </c>
      <c r="E6" s="52">
        <v>6</v>
      </c>
      <c r="F6" s="56">
        <v>9.1999999999999993</v>
      </c>
      <c r="G6" s="9">
        <f t="shared" si="0"/>
        <v>27.2</v>
      </c>
      <c r="H6" s="10" t="str">
        <f t="shared" ref="H6:K31" si="1">IF(C6&gt;=8.6,"ممتاز",IF(C6&gt;=7.6,"جيد جداً",IF(C6&gt;=6.6,"جيد",IF(C6&gt;=5,"مقبول","يُعاد"))))</f>
        <v>جيد</v>
      </c>
      <c r="I6" s="10" t="str">
        <f t="shared" si="1"/>
        <v>مقبول</v>
      </c>
      <c r="J6" s="10" t="str">
        <f t="shared" si="1"/>
        <v>مقبول</v>
      </c>
      <c r="K6" s="10" t="str">
        <f t="shared" si="1"/>
        <v>ممتاز</v>
      </c>
      <c r="L6" s="11" t="str">
        <f t="shared" ref="L6:L48" si="2">IF(G6&gt;=35,"ممتاز",IF(G6&gt;=31,"جيد جداً",IF(G6&gt;=26,"جيد",IF(G6&gt;=20,"مقبول","-"))))</f>
        <v>جيد</v>
      </c>
    </row>
    <row r="7" spans="1:12" ht="31.5" x14ac:dyDescent="0.2">
      <c r="A7" s="4">
        <v>3</v>
      </c>
      <c r="B7" s="48" t="s">
        <v>176</v>
      </c>
      <c r="C7" s="52"/>
      <c r="D7" s="52"/>
      <c r="E7" s="52"/>
      <c r="F7" s="56"/>
      <c r="G7" s="9">
        <f t="shared" si="0"/>
        <v>0</v>
      </c>
      <c r="H7" s="10" t="str">
        <f t="shared" si="1"/>
        <v>يُعاد</v>
      </c>
      <c r="I7" s="10" t="str">
        <f t="shared" si="1"/>
        <v>يُعاد</v>
      </c>
      <c r="J7" s="10" t="str">
        <f t="shared" si="1"/>
        <v>يُعاد</v>
      </c>
      <c r="K7" s="10" t="str">
        <f t="shared" si="1"/>
        <v>يُعاد</v>
      </c>
      <c r="L7" s="11" t="str">
        <f t="shared" si="2"/>
        <v>-</v>
      </c>
    </row>
    <row r="8" spans="1:12" ht="31.5" x14ac:dyDescent="0.2">
      <c r="A8" s="4">
        <v>4</v>
      </c>
      <c r="B8" s="48" t="s">
        <v>177</v>
      </c>
      <c r="C8" s="52">
        <v>9</v>
      </c>
      <c r="D8" s="52">
        <v>5</v>
      </c>
      <c r="E8" s="52">
        <v>6</v>
      </c>
      <c r="F8" s="56">
        <v>9.4</v>
      </c>
      <c r="G8" s="9">
        <f t="shared" si="0"/>
        <v>29.4</v>
      </c>
      <c r="H8" s="10" t="str">
        <f t="shared" si="1"/>
        <v>ممتاز</v>
      </c>
      <c r="I8" s="10" t="str">
        <f t="shared" si="1"/>
        <v>مقبول</v>
      </c>
      <c r="J8" s="10" t="str">
        <f t="shared" si="1"/>
        <v>مقبول</v>
      </c>
      <c r="K8" s="10" t="str">
        <f t="shared" si="1"/>
        <v>ممتاز</v>
      </c>
      <c r="L8" s="11" t="str">
        <f t="shared" si="2"/>
        <v>جيد</v>
      </c>
    </row>
    <row r="9" spans="1:12" ht="31.5" x14ac:dyDescent="0.2">
      <c r="A9" s="4">
        <v>5</v>
      </c>
      <c r="B9" s="48" t="s">
        <v>178</v>
      </c>
      <c r="C9" s="52">
        <v>10</v>
      </c>
      <c r="D9" s="52">
        <v>10</v>
      </c>
      <c r="E9" s="52">
        <v>6</v>
      </c>
      <c r="F9" s="56">
        <v>9.3000000000000007</v>
      </c>
      <c r="G9" s="9">
        <f t="shared" si="0"/>
        <v>35.299999999999997</v>
      </c>
      <c r="H9" s="10" t="str">
        <f t="shared" si="1"/>
        <v>ممتاز</v>
      </c>
      <c r="I9" s="10" t="str">
        <f t="shared" si="1"/>
        <v>ممتاز</v>
      </c>
      <c r="J9" s="10" t="str">
        <f t="shared" si="1"/>
        <v>مقبول</v>
      </c>
      <c r="K9" s="10" t="str">
        <f t="shared" si="1"/>
        <v>ممتاز</v>
      </c>
      <c r="L9" s="11" t="str">
        <f t="shared" si="2"/>
        <v>ممتاز</v>
      </c>
    </row>
    <row r="10" spans="1:12" ht="31.5" x14ac:dyDescent="0.2">
      <c r="A10" s="4">
        <v>6</v>
      </c>
      <c r="B10" s="48" t="s">
        <v>179</v>
      </c>
      <c r="C10" s="52">
        <v>10</v>
      </c>
      <c r="D10" s="52">
        <v>10</v>
      </c>
      <c r="E10" s="52">
        <v>6</v>
      </c>
      <c r="F10" s="56">
        <v>9.6999999999999993</v>
      </c>
      <c r="G10" s="9">
        <f t="shared" si="0"/>
        <v>35.700000000000003</v>
      </c>
      <c r="H10" s="10" t="str">
        <f t="shared" si="1"/>
        <v>ممتاز</v>
      </c>
      <c r="I10" s="10" t="str">
        <f t="shared" si="1"/>
        <v>ممتاز</v>
      </c>
      <c r="J10" s="10" t="str">
        <f t="shared" si="1"/>
        <v>مقبول</v>
      </c>
      <c r="K10" s="10" t="str">
        <f t="shared" si="1"/>
        <v>ممتاز</v>
      </c>
      <c r="L10" s="11" t="str">
        <f t="shared" si="2"/>
        <v>ممتاز</v>
      </c>
    </row>
    <row r="11" spans="1:12" ht="31.5" x14ac:dyDescent="0.2">
      <c r="A11" s="4">
        <v>7</v>
      </c>
      <c r="B11" s="48" t="s">
        <v>180</v>
      </c>
      <c r="C11" s="52">
        <v>10</v>
      </c>
      <c r="D11" s="52">
        <v>10</v>
      </c>
      <c r="E11" s="52">
        <v>6</v>
      </c>
      <c r="F11" s="56">
        <v>9.4</v>
      </c>
      <c r="G11" s="9">
        <f t="shared" si="0"/>
        <v>35.4</v>
      </c>
      <c r="H11" s="10" t="str">
        <f t="shared" si="1"/>
        <v>ممتاز</v>
      </c>
      <c r="I11" s="10" t="str">
        <f t="shared" si="1"/>
        <v>ممتاز</v>
      </c>
      <c r="J11" s="10" t="str">
        <f t="shared" si="1"/>
        <v>مقبول</v>
      </c>
      <c r="K11" s="10" t="str">
        <f t="shared" si="1"/>
        <v>ممتاز</v>
      </c>
      <c r="L11" s="11" t="str">
        <f t="shared" si="2"/>
        <v>ممتاز</v>
      </c>
    </row>
    <row r="12" spans="1:12" ht="31.5" x14ac:dyDescent="0.2">
      <c r="A12" s="4">
        <v>8</v>
      </c>
      <c r="B12" s="48" t="s">
        <v>181</v>
      </c>
      <c r="C12" s="52"/>
      <c r="D12" s="52"/>
      <c r="E12" s="52"/>
      <c r="F12" s="56"/>
      <c r="G12" s="9">
        <f t="shared" si="0"/>
        <v>0</v>
      </c>
      <c r="H12" s="10" t="str">
        <f t="shared" si="1"/>
        <v>يُعاد</v>
      </c>
      <c r="I12" s="10" t="str">
        <f t="shared" si="1"/>
        <v>يُعاد</v>
      </c>
      <c r="J12" s="10" t="str">
        <f t="shared" si="1"/>
        <v>يُعاد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5</v>
      </c>
      <c r="C13" s="52"/>
      <c r="D13" s="52"/>
      <c r="E13" s="52"/>
      <c r="F13" s="56"/>
      <c r="G13" s="9">
        <f t="shared" si="0"/>
        <v>0</v>
      </c>
      <c r="H13" s="10" t="str">
        <f t="shared" si="1"/>
        <v>يُعاد</v>
      </c>
      <c r="I13" s="10" t="str">
        <f t="shared" si="1"/>
        <v>يُعاد</v>
      </c>
      <c r="J13" s="10" t="str">
        <f t="shared" si="1"/>
        <v>يُعاد</v>
      </c>
      <c r="K13" s="10" t="str">
        <f t="shared" si="1"/>
        <v>يُعاد</v>
      </c>
      <c r="L13" s="11" t="str">
        <f t="shared" si="2"/>
        <v>-</v>
      </c>
    </row>
    <row r="14" spans="1:12" ht="31.5" x14ac:dyDescent="0.2">
      <c r="A14" s="4">
        <v>10</v>
      </c>
      <c r="B14" s="48" t="s">
        <v>31</v>
      </c>
      <c r="C14" s="52">
        <v>10</v>
      </c>
      <c r="D14" s="52">
        <v>10</v>
      </c>
      <c r="E14" s="52">
        <v>10</v>
      </c>
      <c r="F14" s="56">
        <v>10</v>
      </c>
      <c r="G14" s="9">
        <f t="shared" si="0"/>
        <v>40</v>
      </c>
      <c r="H14" s="10" t="str">
        <f t="shared" si="1"/>
        <v>ممتاز</v>
      </c>
      <c r="I14" s="10" t="str">
        <f t="shared" si="1"/>
        <v>ممتاز</v>
      </c>
      <c r="J14" s="10" t="str">
        <f t="shared" si="1"/>
        <v>ممتاز</v>
      </c>
      <c r="K14" s="10" t="str">
        <f t="shared" si="1"/>
        <v>ممتاز</v>
      </c>
      <c r="L14" s="11" t="str">
        <f t="shared" si="2"/>
        <v>ممتاز</v>
      </c>
    </row>
    <row r="15" spans="1:12" ht="31.5" x14ac:dyDescent="0.2">
      <c r="A15" s="4">
        <v>11</v>
      </c>
      <c r="B15" s="48" t="s">
        <v>32</v>
      </c>
      <c r="C15" s="52">
        <v>10</v>
      </c>
      <c r="D15" s="52">
        <v>10</v>
      </c>
      <c r="E15" s="52">
        <v>10</v>
      </c>
      <c r="F15" s="56">
        <v>10</v>
      </c>
      <c r="G15" s="9">
        <f t="shared" si="0"/>
        <v>40</v>
      </c>
      <c r="H15" s="10" t="str">
        <f t="shared" si="1"/>
        <v>ممتاز</v>
      </c>
      <c r="I15" s="10" t="str">
        <f t="shared" si="1"/>
        <v>ممتاز</v>
      </c>
      <c r="J15" s="10" t="str">
        <f t="shared" si="1"/>
        <v>ممتاز</v>
      </c>
      <c r="K15" s="10" t="str">
        <f t="shared" si="1"/>
        <v>ممتاز</v>
      </c>
      <c r="L15" s="11" t="str">
        <f t="shared" si="2"/>
        <v>ممتاز</v>
      </c>
    </row>
    <row r="16" spans="1:12" ht="31.5" x14ac:dyDescent="0.2">
      <c r="A16" s="4">
        <v>12</v>
      </c>
      <c r="B16" s="48" t="s">
        <v>182</v>
      </c>
      <c r="C16" s="52">
        <v>10</v>
      </c>
      <c r="D16" s="52">
        <v>10</v>
      </c>
      <c r="E16" s="52">
        <v>10</v>
      </c>
      <c r="F16" s="56">
        <v>10</v>
      </c>
      <c r="G16" s="9">
        <f t="shared" si="0"/>
        <v>40</v>
      </c>
      <c r="H16" s="10" t="str">
        <f t="shared" si="1"/>
        <v>ممتاز</v>
      </c>
      <c r="I16" s="10" t="str">
        <f t="shared" si="1"/>
        <v>ممتاز</v>
      </c>
      <c r="J16" s="10" t="str">
        <f t="shared" si="1"/>
        <v>ممتاز</v>
      </c>
      <c r="K16" s="10" t="str">
        <f t="shared" si="1"/>
        <v>ممتاز</v>
      </c>
      <c r="L16" s="11" t="str">
        <f t="shared" si="2"/>
        <v>ممتاز</v>
      </c>
    </row>
    <row r="17" spans="1:12" ht="31.5" x14ac:dyDescent="0.2">
      <c r="A17" s="4">
        <v>13</v>
      </c>
      <c r="B17" s="48" t="s">
        <v>38</v>
      </c>
      <c r="C17" s="52">
        <v>8</v>
      </c>
      <c r="D17" s="52">
        <v>10</v>
      </c>
      <c r="E17" s="52">
        <v>6</v>
      </c>
      <c r="F17" s="56">
        <v>9.3000000000000007</v>
      </c>
      <c r="G17" s="9">
        <f t="shared" si="0"/>
        <v>33.299999999999997</v>
      </c>
      <c r="H17" s="10" t="str">
        <f t="shared" si="1"/>
        <v>جيد جداً</v>
      </c>
      <c r="I17" s="10" t="str">
        <f t="shared" si="1"/>
        <v>ممتاز</v>
      </c>
      <c r="J17" s="10" t="str">
        <f t="shared" si="1"/>
        <v>مقبول</v>
      </c>
      <c r="K17" s="10" t="str">
        <f t="shared" si="1"/>
        <v>ممتاز</v>
      </c>
      <c r="L17" s="11" t="str">
        <f t="shared" si="2"/>
        <v>جيد جداً</v>
      </c>
    </row>
    <row r="18" spans="1:12" ht="31.5" x14ac:dyDescent="0.2">
      <c r="A18" s="4">
        <v>14</v>
      </c>
      <c r="B18" s="48" t="s">
        <v>35</v>
      </c>
      <c r="C18" s="52">
        <v>10</v>
      </c>
      <c r="D18" s="52">
        <v>9</v>
      </c>
      <c r="E18" s="52">
        <v>8</v>
      </c>
      <c r="F18" s="56">
        <v>9</v>
      </c>
      <c r="G18" s="9">
        <f t="shared" si="0"/>
        <v>36</v>
      </c>
      <c r="H18" s="10" t="str">
        <f t="shared" si="1"/>
        <v>ممتاز</v>
      </c>
      <c r="I18" s="10" t="str">
        <f t="shared" si="1"/>
        <v>ممتاز</v>
      </c>
      <c r="J18" s="10" t="str">
        <f t="shared" si="1"/>
        <v>جيد جداً</v>
      </c>
      <c r="K18" s="10" t="str">
        <f t="shared" si="1"/>
        <v>ممتاز</v>
      </c>
      <c r="L18" s="11" t="str">
        <f t="shared" si="2"/>
        <v>ممتاز</v>
      </c>
    </row>
    <row r="19" spans="1:12" ht="31.5" x14ac:dyDescent="0.2">
      <c r="A19" s="4">
        <v>15</v>
      </c>
      <c r="B19" s="48" t="s">
        <v>183</v>
      </c>
      <c r="C19" s="52">
        <v>9</v>
      </c>
      <c r="D19" s="52">
        <v>10</v>
      </c>
      <c r="E19" s="52">
        <v>6</v>
      </c>
      <c r="F19" s="56">
        <v>9.1</v>
      </c>
      <c r="G19" s="9">
        <f t="shared" si="0"/>
        <v>34.1</v>
      </c>
      <c r="H19" s="10" t="str">
        <f t="shared" si="1"/>
        <v>ممتاز</v>
      </c>
      <c r="I19" s="10" t="str">
        <f t="shared" si="1"/>
        <v>ممتاز</v>
      </c>
      <c r="J19" s="10" t="str">
        <f t="shared" si="1"/>
        <v>مقبول</v>
      </c>
      <c r="K19" s="10" t="str">
        <f t="shared" si="1"/>
        <v>ممتاز</v>
      </c>
      <c r="L19" s="11" t="str">
        <f t="shared" si="2"/>
        <v>جيد جداً</v>
      </c>
    </row>
    <row r="20" spans="1:12" ht="31.5" x14ac:dyDescent="0.2">
      <c r="A20" s="4">
        <v>16</v>
      </c>
      <c r="B20" s="48" t="s">
        <v>34</v>
      </c>
      <c r="C20" s="52">
        <v>9.6999999999999993</v>
      </c>
      <c r="D20" s="52">
        <v>10</v>
      </c>
      <c r="E20" s="52">
        <v>8</v>
      </c>
      <c r="F20" s="56">
        <v>9</v>
      </c>
      <c r="G20" s="9">
        <f t="shared" si="0"/>
        <v>36.700000000000003</v>
      </c>
      <c r="H20" s="10" t="str">
        <f t="shared" si="1"/>
        <v>ممتاز</v>
      </c>
      <c r="I20" s="10" t="str">
        <f t="shared" si="1"/>
        <v>ممتاز</v>
      </c>
      <c r="J20" s="10" t="str">
        <f t="shared" si="1"/>
        <v>جيد جداً</v>
      </c>
      <c r="K20" s="10" t="str">
        <f t="shared" si="1"/>
        <v>ممتاز</v>
      </c>
      <c r="L20" s="11" t="str">
        <f t="shared" si="2"/>
        <v>ممتاز</v>
      </c>
    </row>
    <row r="21" spans="1:12" ht="31.5" x14ac:dyDescent="0.2">
      <c r="A21" s="4">
        <v>17</v>
      </c>
      <c r="B21" s="48" t="s">
        <v>184</v>
      </c>
      <c r="C21" s="52">
        <v>10</v>
      </c>
      <c r="D21" s="52">
        <v>8</v>
      </c>
      <c r="E21" s="52">
        <v>6</v>
      </c>
      <c r="F21" s="56">
        <v>9.1999999999999993</v>
      </c>
      <c r="G21" s="9">
        <f t="shared" si="0"/>
        <v>33.200000000000003</v>
      </c>
      <c r="H21" s="10" t="str">
        <f t="shared" si="1"/>
        <v>ممتاز</v>
      </c>
      <c r="I21" s="10" t="str">
        <f t="shared" si="1"/>
        <v>جيد جداً</v>
      </c>
      <c r="J21" s="10" t="str">
        <f t="shared" si="1"/>
        <v>مقبول</v>
      </c>
      <c r="K21" s="10" t="str">
        <f t="shared" si="1"/>
        <v>ممتاز</v>
      </c>
      <c r="L21" s="11" t="str">
        <f t="shared" si="2"/>
        <v>جيد جداً</v>
      </c>
    </row>
    <row r="22" spans="1:12" ht="31.5" x14ac:dyDescent="0.2">
      <c r="A22" s="4">
        <v>18</v>
      </c>
      <c r="B22" s="48" t="s">
        <v>36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185</v>
      </c>
      <c r="C23" s="52"/>
      <c r="D23" s="52"/>
      <c r="E23" s="52"/>
      <c r="F23" s="56"/>
      <c r="G23" s="9">
        <f t="shared" si="0"/>
        <v>0</v>
      </c>
      <c r="H23" s="10" t="str">
        <f t="shared" si="1"/>
        <v>يُعاد</v>
      </c>
      <c r="I23" s="10" t="str">
        <f t="shared" si="1"/>
        <v>يُعاد</v>
      </c>
      <c r="J23" s="10" t="str">
        <f t="shared" si="1"/>
        <v>يُعاد</v>
      </c>
      <c r="K23" s="10" t="str">
        <f t="shared" si="1"/>
        <v>يُعاد</v>
      </c>
      <c r="L23" s="11" t="str">
        <f t="shared" si="2"/>
        <v>-</v>
      </c>
    </row>
    <row r="24" spans="1:12" ht="31.5" x14ac:dyDescent="0.2">
      <c r="A24" s="4">
        <v>20</v>
      </c>
      <c r="B24" s="48" t="s">
        <v>186</v>
      </c>
      <c r="C24" s="52">
        <v>9</v>
      </c>
      <c r="D24" s="52">
        <v>0</v>
      </c>
      <c r="E24" s="52">
        <v>6</v>
      </c>
      <c r="F24" s="56">
        <v>9</v>
      </c>
      <c r="G24" s="9">
        <f t="shared" si="0"/>
        <v>24</v>
      </c>
      <c r="H24" s="10" t="str">
        <f t="shared" si="1"/>
        <v>ممتاز</v>
      </c>
      <c r="I24" s="10" t="str">
        <f t="shared" si="1"/>
        <v>يُعاد</v>
      </c>
      <c r="J24" s="10" t="str">
        <f t="shared" si="1"/>
        <v>مقبول</v>
      </c>
      <c r="K24" s="10" t="str">
        <f t="shared" si="1"/>
        <v>ممتاز</v>
      </c>
      <c r="L24" s="11" t="str">
        <f t="shared" si="2"/>
        <v>مقبول</v>
      </c>
    </row>
    <row r="25" spans="1:12" ht="31.5" x14ac:dyDescent="0.2">
      <c r="A25" s="4">
        <v>21</v>
      </c>
      <c r="B25" s="48" t="s">
        <v>30</v>
      </c>
      <c r="C25" s="52">
        <v>2</v>
      </c>
      <c r="D25" s="52">
        <v>1</v>
      </c>
      <c r="E25" s="52">
        <v>4</v>
      </c>
      <c r="F25" s="56">
        <v>0</v>
      </c>
      <c r="G25" s="9">
        <f t="shared" si="0"/>
        <v>7</v>
      </c>
      <c r="H25" s="10" t="str">
        <f t="shared" si="1"/>
        <v>يُعاد</v>
      </c>
      <c r="I25" s="10" t="str">
        <f t="shared" si="1"/>
        <v>يُعاد</v>
      </c>
      <c r="J25" s="10" t="str">
        <f t="shared" si="1"/>
        <v>يُعاد</v>
      </c>
      <c r="K25" s="10" t="str">
        <f t="shared" si="1"/>
        <v>يُعاد</v>
      </c>
      <c r="L25" s="11" t="str">
        <f t="shared" si="2"/>
        <v>-</v>
      </c>
    </row>
    <row r="26" spans="1:12" ht="31.5" x14ac:dyDescent="0.2">
      <c r="A26" s="4">
        <v>22</v>
      </c>
      <c r="B26" s="48" t="s">
        <v>187</v>
      </c>
      <c r="C26" s="52"/>
      <c r="D26" s="52"/>
      <c r="E26" s="52"/>
      <c r="F26" s="56"/>
      <c r="G26" s="9">
        <f t="shared" si="0"/>
        <v>0</v>
      </c>
      <c r="H26" s="10" t="str">
        <f t="shared" si="1"/>
        <v>يُعاد</v>
      </c>
      <c r="I26" s="10" t="str">
        <f t="shared" si="1"/>
        <v>يُعاد</v>
      </c>
      <c r="J26" s="10" t="str">
        <f t="shared" si="1"/>
        <v>يُعاد</v>
      </c>
      <c r="K26" s="10" t="str">
        <f t="shared" si="1"/>
        <v>يُعاد</v>
      </c>
      <c r="L26" s="11" t="str">
        <f t="shared" si="2"/>
        <v>-</v>
      </c>
    </row>
    <row r="27" spans="1:12" ht="31.5" x14ac:dyDescent="0.2">
      <c r="A27" s="4">
        <v>23</v>
      </c>
      <c r="B27" s="48" t="s">
        <v>188</v>
      </c>
      <c r="C27" s="52"/>
      <c r="D27" s="52"/>
      <c r="E27" s="52"/>
      <c r="F27" s="56"/>
      <c r="G27" s="9">
        <f t="shared" si="0"/>
        <v>0</v>
      </c>
      <c r="H27" s="10" t="str">
        <f t="shared" si="1"/>
        <v>يُعاد</v>
      </c>
      <c r="I27" s="10" t="str">
        <f t="shared" si="1"/>
        <v>يُعاد</v>
      </c>
      <c r="J27" s="10" t="str">
        <f t="shared" si="1"/>
        <v>يُعاد</v>
      </c>
      <c r="K27" s="10" t="str">
        <f t="shared" si="1"/>
        <v>يُعاد</v>
      </c>
      <c r="L27" s="11" t="str">
        <f t="shared" si="2"/>
        <v>-</v>
      </c>
    </row>
    <row r="28" spans="1:12" ht="31.5" x14ac:dyDescent="0.2">
      <c r="A28" s="4">
        <v>24</v>
      </c>
      <c r="B28" s="48" t="s">
        <v>189</v>
      </c>
      <c r="C28" s="52">
        <v>10</v>
      </c>
      <c r="D28" s="52">
        <v>10</v>
      </c>
      <c r="E28" s="52">
        <v>10</v>
      </c>
      <c r="F28" s="56">
        <v>9.6999999999999993</v>
      </c>
      <c r="G28" s="9">
        <f t="shared" si="0"/>
        <v>39.700000000000003</v>
      </c>
      <c r="H28" s="10" t="str">
        <f t="shared" si="1"/>
        <v>ممتاز</v>
      </c>
      <c r="I28" s="10" t="str">
        <f t="shared" si="1"/>
        <v>ممتاز</v>
      </c>
      <c r="J28" s="10" t="str">
        <f t="shared" si="1"/>
        <v>ممتاز</v>
      </c>
      <c r="K28" s="10" t="str">
        <f t="shared" si="1"/>
        <v>ممتاز</v>
      </c>
      <c r="L28" s="11" t="str">
        <f t="shared" si="2"/>
        <v>ممتاز</v>
      </c>
    </row>
    <row r="29" spans="1:12" ht="31.5" x14ac:dyDescent="0.2">
      <c r="A29" s="4">
        <v>25</v>
      </c>
      <c r="B29" s="48" t="s">
        <v>37</v>
      </c>
      <c r="C29" s="52"/>
      <c r="D29" s="52"/>
      <c r="E29" s="52"/>
      <c r="F29" s="56"/>
      <c r="G29" s="9">
        <f t="shared" si="0"/>
        <v>0</v>
      </c>
      <c r="H29" s="10" t="str">
        <f t="shared" si="1"/>
        <v>يُعاد</v>
      </c>
      <c r="I29" s="10" t="str">
        <f t="shared" si="1"/>
        <v>يُعاد</v>
      </c>
      <c r="J29" s="10" t="str">
        <f t="shared" si="1"/>
        <v>يُعاد</v>
      </c>
      <c r="K29" s="10" t="str">
        <f t="shared" si="1"/>
        <v>يُعاد</v>
      </c>
      <c r="L29" s="11" t="str">
        <f t="shared" si="2"/>
        <v>-</v>
      </c>
    </row>
    <row r="30" spans="1:12" ht="31.5" x14ac:dyDescent="0.2">
      <c r="A30" s="4">
        <v>26</v>
      </c>
      <c r="B30" s="48" t="s">
        <v>190</v>
      </c>
      <c r="C30" s="52"/>
      <c r="D30" s="52"/>
      <c r="E30" s="52"/>
      <c r="F30" s="56"/>
      <c r="G30" s="9">
        <f t="shared" si="0"/>
        <v>0</v>
      </c>
      <c r="H30" s="10" t="str">
        <f t="shared" si="1"/>
        <v>يُعاد</v>
      </c>
      <c r="I30" s="10" t="str">
        <f t="shared" si="1"/>
        <v>يُعاد</v>
      </c>
      <c r="J30" s="10" t="str">
        <f t="shared" si="1"/>
        <v>يُعاد</v>
      </c>
      <c r="K30" s="10" t="str">
        <f t="shared" si="1"/>
        <v>يُعاد</v>
      </c>
      <c r="L30" s="11" t="str">
        <f t="shared" si="2"/>
        <v>-</v>
      </c>
    </row>
    <row r="31" spans="1:12" ht="31.5" x14ac:dyDescent="0.2">
      <c r="A31" s="4">
        <v>27</v>
      </c>
      <c r="B31" s="48" t="s">
        <v>388</v>
      </c>
      <c r="C31" s="52"/>
      <c r="D31" s="52"/>
      <c r="E31" s="52"/>
      <c r="F31" s="56"/>
      <c r="G31" s="9">
        <f t="shared" si="0"/>
        <v>0</v>
      </c>
      <c r="H31" s="10" t="str">
        <f t="shared" si="1"/>
        <v>يُعاد</v>
      </c>
      <c r="I31" s="10" t="str">
        <f t="shared" si="1"/>
        <v>يُعاد</v>
      </c>
      <c r="J31" s="10" t="str">
        <f t="shared" si="1"/>
        <v>يُعاد</v>
      </c>
      <c r="K31" s="10" t="str">
        <f t="shared" si="1"/>
        <v>يُعاد</v>
      </c>
      <c r="L31" s="11" t="str">
        <f t="shared" si="2"/>
        <v>-</v>
      </c>
    </row>
    <row r="32" spans="1:12" ht="31.5" x14ac:dyDescent="0.2">
      <c r="A32" s="4">
        <v>28</v>
      </c>
      <c r="B32" s="48" t="s">
        <v>389</v>
      </c>
      <c r="C32" s="52">
        <v>10</v>
      </c>
      <c r="D32" s="52">
        <v>10</v>
      </c>
      <c r="E32" s="52">
        <v>6</v>
      </c>
      <c r="F32" s="56">
        <v>9.4</v>
      </c>
      <c r="G32" s="9">
        <f t="shared" si="0"/>
        <v>35.4</v>
      </c>
      <c r="H32" s="10" t="str">
        <f t="shared" ref="H32:K48" si="3">IF(C32&gt;=8.6,"ممتاز",IF(C32&gt;=7.6,"جيد جداً",IF(C32&gt;=6.6,"جيد",IF(C32&gt;=5,"مقبول","يُعاد"))))</f>
        <v>ممتاز</v>
      </c>
      <c r="I32" s="10" t="str">
        <f t="shared" si="3"/>
        <v>ممتاز</v>
      </c>
      <c r="J32" s="10" t="str">
        <f t="shared" si="3"/>
        <v>مقبول</v>
      </c>
      <c r="K32" s="10" t="str">
        <f t="shared" si="3"/>
        <v>ممتاز</v>
      </c>
      <c r="L32" s="11" t="str">
        <f t="shared" si="2"/>
        <v>ممتاز</v>
      </c>
    </row>
    <row r="33" spans="1:12" ht="31.5" x14ac:dyDescent="0.2">
      <c r="A33" s="4">
        <v>29</v>
      </c>
      <c r="B33" s="48" t="s">
        <v>390</v>
      </c>
      <c r="C33" s="52">
        <v>10</v>
      </c>
      <c r="D33" s="52">
        <v>10</v>
      </c>
      <c r="E33" s="52">
        <v>10</v>
      </c>
      <c r="F33" s="56">
        <v>10</v>
      </c>
      <c r="G33" s="9">
        <f t="shared" si="0"/>
        <v>40</v>
      </c>
      <c r="H33" s="10" t="str">
        <f t="shared" si="3"/>
        <v>ممتاز</v>
      </c>
      <c r="I33" s="10" t="str">
        <f t="shared" si="3"/>
        <v>ممتاز</v>
      </c>
      <c r="J33" s="10" t="str">
        <f t="shared" si="3"/>
        <v>ممتاز</v>
      </c>
      <c r="K33" s="10" t="str">
        <f t="shared" si="3"/>
        <v>ممتاز</v>
      </c>
      <c r="L33" s="11" t="str">
        <f t="shared" si="2"/>
        <v>ممتاز</v>
      </c>
    </row>
    <row r="34" spans="1:12" ht="31.5" x14ac:dyDescent="0.2">
      <c r="A34" s="4">
        <v>30</v>
      </c>
      <c r="B34" s="48" t="s">
        <v>391</v>
      </c>
      <c r="C34" s="52">
        <v>10</v>
      </c>
      <c r="D34" s="52">
        <v>10</v>
      </c>
      <c r="E34" s="52">
        <v>6</v>
      </c>
      <c r="F34" s="56">
        <v>10</v>
      </c>
      <c r="G34" s="9">
        <f t="shared" si="0"/>
        <v>36</v>
      </c>
      <c r="H34" s="10" t="str">
        <f t="shared" si="3"/>
        <v>ممتاز</v>
      </c>
      <c r="I34" s="10" t="str">
        <f t="shared" si="3"/>
        <v>ممتاز</v>
      </c>
      <c r="J34" s="10" t="str">
        <f t="shared" si="3"/>
        <v>مقبول</v>
      </c>
      <c r="K34" s="10" t="str">
        <f t="shared" si="3"/>
        <v>ممتاز</v>
      </c>
      <c r="L34" s="11" t="str">
        <f t="shared" si="2"/>
        <v>ممتاز</v>
      </c>
    </row>
    <row r="35" spans="1:12" ht="31.5" x14ac:dyDescent="0.2">
      <c r="A35" s="4">
        <v>31</v>
      </c>
      <c r="B35" s="48" t="s">
        <v>191</v>
      </c>
      <c r="C35" s="52">
        <v>10</v>
      </c>
      <c r="D35" s="52">
        <v>10</v>
      </c>
      <c r="E35" s="52">
        <v>8</v>
      </c>
      <c r="F35" s="56">
        <v>10</v>
      </c>
      <c r="G35" s="9">
        <f t="shared" si="0"/>
        <v>38</v>
      </c>
      <c r="H35" s="10" t="str">
        <f t="shared" si="3"/>
        <v>ممتاز</v>
      </c>
      <c r="I35" s="10" t="str">
        <f t="shared" si="3"/>
        <v>ممتاز</v>
      </c>
      <c r="J35" s="10" t="str">
        <f t="shared" si="3"/>
        <v>جيد جداً</v>
      </c>
      <c r="K35" s="10" t="str">
        <f t="shared" si="3"/>
        <v>ممتاز</v>
      </c>
      <c r="L35" s="11" t="str">
        <f t="shared" si="2"/>
        <v>ممتاز</v>
      </c>
    </row>
    <row r="36" spans="1:12" ht="31.5" x14ac:dyDescent="0.2">
      <c r="A36" s="4">
        <v>32</v>
      </c>
      <c r="B36" s="48" t="s">
        <v>33</v>
      </c>
      <c r="C36" s="52">
        <v>10</v>
      </c>
      <c r="D36" s="52">
        <v>10</v>
      </c>
      <c r="E36" s="52">
        <v>6</v>
      </c>
      <c r="F36" s="56">
        <v>9.4</v>
      </c>
      <c r="G36" s="9">
        <f t="shared" si="0"/>
        <v>35.4</v>
      </c>
      <c r="H36" s="10" t="str">
        <f t="shared" si="3"/>
        <v>ممتاز</v>
      </c>
      <c r="I36" s="10" t="str">
        <f t="shared" si="3"/>
        <v>ممتاز</v>
      </c>
      <c r="J36" s="10" t="str">
        <f t="shared" si="3"/>
        <v>مقبول</v>
      </c>
      <c r="K36" s="10" t="str">
        <f t="shared" si="3"/>
        <v>ممتاز</v>
      </c>
      <c r="L36" s="11" t="str">
        <f t="shared" si="2"/>
        <v>ممتاز</v>
      </c>
    </row>
    <row r="37" spans="1:12" ht="31.5" x14ac:dyDescent="0.2">
      <c r="A37" s="4">
        <v>33</v>
      </c>
      <c r="B37" s="48" t="s">
        <v>192</v>
      </c>
      <c r="C37" s="52"/>
      <c r="D37" s="52"/>
      <c r="E37" s="52"/>
      <c r="F37" s="56"/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31.5" x14ac:dyDescent="0.2">
      <c r="A38" s="4">
        <v>34</v>
      </c>
      <c r="B38" s="48" t="s">
        <v>193</v>
      </c>
      <c r="C38" s="52">
        <v>10</v>
      </c>
      <c r="D38" s="52">
        <v>10</v>
      </c>
      <c r="E38" s="52">
        <v>6</v>
      </c>
      <c r="F38" s="56">
        <v>9.9</v>
      </c>
      <c r="G38" s="9">
        <f t="shared" si="0"/>
        <v>35.9</v>
      </c>
      <c r="H38" s="10" t="str">
        <f t="shared" si="3"/>
        <v>ممتاز</v>
      </c>
      <c r="I38" s="10" t="str">
        <f t="shared" si="3"/>
        <v>ممتاز</v>
      </c>
      <c r="J38" s="10" t="str">
        <f t="shared" si="3"/>
        <v>مقبول</v>
      </c>
      <c r="K38" s="10" t="str">
        <f t="shared" si="3"/>
        <v>ممتاز</v>
      </c>
      <c r="L38" s="11" t="str">
        <f t="shared" si="2"/>
        <v>ممتاز</v>
      </c>
    </row>
    <row r="39" spans="1:12" ht="31.5" x14ac:dyDescent="0.2">
      <c r="A39" s="4">
        <v>35</v>
      </c>
      <c r="B39" s="48" t="s">
        <v>194</v>
      </c>
      <c r="C39" s="52">
        <v>10</v>
      </c>
      <c r="D39" s="52">
        <v>10</v>
      </c>
      <c r="E39" s="52">
        <v>6</v>
      </c>
      <c r="F39" s="56">
        <v>10</v>
      </c>
      <c r="G39" s="9">
        <f t="shared" si="0"/>
        <v>36</v>
      </c>
      <c r="H39" s="10" t="str">
        <f t="shared" si="3"/>
        <v>ممتاز</v>
      </c>
      <c r="I39" s="10" t="str">
        <f t="shared" si="3"/>
        <v>ممتاز</v>
      </c>
      <c r="J39" s="10" t="str">
        <f t="shared" si="3"/>
        <v>مقبول</v>
      </c>
      <c r="K39" s="10" t="str">
        <f t="shared" si="3"/>
        <v>ممتاز</v>
      </c>
      <c r="L39" s="11" t="str">
        <f t="shared" si="2"/>
        <v>ممتاز</v>
      </c>
    </row>
    <row r="40" spans="1:12" ht="31.5" x14ac:dyDescent="0.2">
      <c r="A40" s="4">
        <v>36</v>
      </c>
      <c r="B40" s="48" t="s">
        <v>195</v>
      </c>
      <c r="C40" s="52"/>
      <c r="D40" s="52"/>
      <c r="E40" s="52"/>
      <c r="F40" s="56"/>
      <c r="G40" s="9">
        <f t="shared" si="0"/>
        <v>0</v>
      </c>
      <c r="H40" s="10" t="str">
        <f t="shared" si="3"/>
        <v>يُعاد</v>
      </c>
      <c r="I40" s="10" t="str">
        <f t="shared" si="3"/>
        <v>يُعاد</v>
      </c>
      <c r="J40" s="10" t="str">
        <f t="shared" si="3"/>
        <v>يُعاد</v>
      </c>
      <c r="K40" s="10" t="str">
        <f t="shared" si="3"/>
        <v>يُعاد</v>
      </c>
      <c r="L40" s="11" t="str">
        <f t="shared" si="2"/>
        <v>-</v>
      </c>
    </row>
    <row r="41" spans="1:12" ht="31.5" x14ac:dyDescent="0.2">
      <c r="A41" s="4">
        <v>37</v>
      </c>
      <c r="B41" s="48" t="s">
        <v>196</v>
      </c>
      <c r="C41" s="52"/>
      <c r="D41" s="52"/>
      <c r="E41" s="52"/>
      <c r="F41" s="56"/>
      <c r="G41" s="9">
        <f t="shared" si="0"/>
        <v>0</v>
      </c>
      <c r="H41" s="10" t="str">
        <f t="shared" si="3"/>
        <v>يُعاد</v>
      </c>
      <c r="I41" s="10" t="str">
        <f t="shared" si="3"/>
        <v>يُعاد</v>
      </c>
      <c r="J41" s="10" t="str">
        <f t="shared" si="3"/>
        <v>يُعاد</v>
      </c>
      <c r="K41" s="10" t="str">
        <f t="shared" si="3"/>
        <v>يُعاد</v>
      </c>
      <c r="L41" s="11" t="str">
        <f t="shared" si="2"/>
        <v>-</v>
      </c>
    </row>
    <row r="42" spans="1:12" ht="31.5" x14ac:dyDescent="0.2">
      <c r="A42" s="4">
        <v>38</v>
      </c>
      <c r="B42" s="48" t="s">
        <v>6</v>
      </c>
      <c r="C42" s="52">
        <v>10</v>
      </c>
      <c r="D42" s="52">
        <v>10</v>
      </c>
      <c r="E42" s="52">
        <v>10</v>
      </c>
      <c r="F42" s="56">
        <v>10</v>
      </c>
      <c r="G42" s="9">
        <f t="shared" si="0"/>
        <v>40</v>
      </c>
      <c r="H42" s="10" t="str">
        <f t="shared" si="3"/>
        <v>ممتاز</v>
      </c>
      <c r="I42" s="10" t="str">
        <f t="shared" si="3"/>
        <v>ممتاز</v>
      </c>
      <c r="J42" s="10" t="str">
        <f t="shared" si="3"/>
        <v>ممتاز</v>
      </c>
      <c r="K42" s="10" t="str">
        <f t="shared" si="3"/>
        <v>ممتاز</v>
      </c>
      <c r="L42" s="11" t="str">
        <f t="shared" si="2"/>
        <v>ممتاز</v>
      </c>
    </row>
    <row r="43" spans="1:12" ht="31.5" x14ac:dyDescent="0.2">
      <c r="A43" s="4">
        <v>39</v>
      </c>
      <c r="B43" s="48" t="s">
        <v>197</v>
      </c>
      <c r="C43" s="52">
        <v>10</v>
      </c>
      <c r="D43" s="52">
        <v>3</v>
      </c>
      <c r="E43" s="52">
        <v>10</v>
      </c>
      <c r="F43" s="56">
        <v>9.5</v>
      </c>
      <c r="G43" s="9">
        <f t="shared" si="0"/>
        <v>32.5</v>
      </c>
      <c r="H43" s="10" t="str">
        <f t="shared" si="3"/>
        <v>ممتاز</v>
      </c>
      <c r="I43" s="10" t="str">
        <f t="shared" si="3"/>
        <v>يُعاد</v>
      </c>
      <c r="J43" s="10" t="str">
        <f t="shared" si="3"/>
        <v>ممتاز</v>
      </c>
      <c r="K43" s="10" t="str">
        <f t="shared" si="3"/>
        <v>ممتاز</v>
      </c>
      <c r="L43" s="11" t="str">
        <f t="shared" si="2"/>
        <v>جيد جداً</v>
      </c>
    </row>
    <row r="44" spans="1:12" ht="31.5" x14ac:dyDescent="0.2">
      <c r="A44" s="4">
        <v>40</v>
      </c>
      <c r="B44" s="48" t="s">
        <v>28</v>
      </c>
      <c r="C44" s="52">
        <v>10</v>
      </c>
      <c r="D44" s="52">
        <v>9.4</v>
      </c>
      <c r="E44" s="52">
        <v>6</v>
      </c>
      <c r="F44" s="56">
        <v>9.9</v>
      </c>
      <c r="G44" s="9">
        <f t="shared" si="0"/>
        <v>35.299999999999997</v>
      </c>
      <c r="H44" s="10" t="str">
        <f t="shared" si="3"/>
        <v>ممتاز</v>
      </c>
      <c r="I44" s="10" t="str">
        <f t="shared" si="3"/>
        <v>ممتاز</v>
      </c>
      <c r="J44" s="10" t="str">
        <f t="shared" si="3"/>
        <v>مقبول</v>
      </c>
      <c r="K44" s="10" t="str">
        <f t="shared" si="3"/>
        <v>ممتاز</v>
      </c>
      <c r="L44" s="11" t="str">
        <f t="shared" si="2"/>
        <v>ممتاز</v>
      </c>
    </row>
    <row r="45" spans="1:12" ht="31.5" x14ac:dyDescent="0.2">
      <c r="A45" s="4">
        <v>41</v>
      </c>
      <c r="B45" s="48" t="s">
        <v>27</v>
      </c>
      <c r="C45" s="52">
        <v>10</v>
      </c>
      <c r="D45" s="52">
        <v>10</v>
      </c>
      <c r="E45" s="52">
        <v>6</v>
      </c>
      <c r="F45" s="56">
        <v>9.5</v>
      </c>
      <c r="G45" s="9">
        <f t="shared" si="0"/>
        <v>35.5</v>
      </c>
      <c r="H45" s="10" t="str">
        <f t="shared" si="3"/>
        <v>ممتاز</v>
      </c>
      <c r="I45" s="10" t="str">
        <f t="shared" si="3"/>
        <v>ممتاز</v>
      </c>
      <c r="J45" s="10" t="str">
        <f t="shared" si="3"/>
        <v>مقبول</v>
      </c>
      <c r="K45" s="10" t="str">
        <f t="shared" si="3"/>
        <v>ممتاز</v>
      </c>
      <c r="L45" s="11" t="str">
        <f t="shared" si="2"/>
        <v>ممتاز</v>
      </c>
    </row>
    <row r="46" spans="1:12" ht="31.5" x14ac:dyDescent="0.2">
      <c r="A46" s="4">
        <v>42</v>
      </c>
      <c r="B46" s="48" t="s">
        <v>29</v>
      </c>
      <c r="C46" s="52">
        <v>9.8000000000000007</v>
      </c>
      <c r="D46" s="52">
        <v>10</v>
      </c>
      <c r="E46" s="52">
        <v>10</v>
      </c>
      <c r="F46" s="56">
        <v>9.9</v>
      </c>
      <c r="G46" s="9">
        <f t="shared" si="0"/>
        <v>39.700000000000003</v>
      </c>
      <c r="H46" s="10" t="str">
        <f t="shared" si="3"/>
        <v>ممتاز</v>
      </c>
      <c r="I46" s="10" t="str">
        <f t="shared" si="3"/>
        <v>ممتاز</v>
      </c>
      <c r="J46" s="10" t="str">
        <f t="shared" si="3"/>
        <v>ممتاز</v>
      </c>
      <c r="K46" s="10" t="str">
        <f t="shared" si="3"/>
        <v>ممتاز</v>
      </c>
      <c r="L46" s="11" t="str">
        <f t="shared" si="2"/>
        <v>ممتاز</v>
      </c>
    </row>
    <row r="47" spans="1:12" ht="31.5" x14ac:dyDescent="0.2">
      <c r="A47" s="4">
        <v>43</v>
      </c>
      <c r="B47" s="48" t="s">
        <v>198</v>
      </c>
      <c r="C47" s="52">
        <v>10</v>
      </c>
      <c r="D47" s="52">
        <v>10</v>
      </c>
      <c r="E47" s="52">
        <v>10</v>
      </c>
      <c r="F47" s="56">
        <v>9.5</v>
      </c>
      <c r="G47" s="9">
        <f t="shared" si="0"/>
        <v>39.5</v>
      </c>
      <c r="H47" s="10" t="str">
        <f t="shared" si="3"/>
        <v>ممتاز</v>
      </c>
      <c r="I47" s="10" t="str">
        <f t="shared" si="3"/>
        <v>ممتاز</v>
      </c>
      <c r="J47" s="10" t="str">
        <f t="shared" si="3"/>
        <v>ممتاز</v>
      </c>
      <c r="K47" s="10" t="str">
        <f t="shared" si="3"/>
        <v>ممتاز</v>
      </c>
      <c r="L47" s="11" t="str">
        <f t="shared" si="2"/>
        <v>ممتاز</v>
      </c>
    </row>
    <row r="48" spans="1:12" ht="31.5" x14ac:dyDescent="0.2">
      <c r="A48" s="4">
        <v>44</v>
      </c>
      <c r="B48" s="48" t="s">
        <v>199</v>
      </c>
      <c r="C48" s="52"/>
      <c r="D48" s="52"/>
      <c r="E48" s="52"/>
      <c r="F48" s="56"/>
      <c r="G48" s="9">
        <f t="shared" si="0"/>
        <v>0</v>
      </c>
      <c r="H48" s="10" t="str">
        <f t="shared" si="3"/>
        <v>يُعاد</v>
      </c>
      <c r="I48" s="10" t="str">
        <f t="shared" si="3"/>
        <v>يُعاد</v>
      </c>
      <c r="J48" s="10" t="str">
        <f t="shared" si="3"/>
        <v>يُعاد</v>
      </c>
      <c r="K48" s="10" t="str">
        <f t="shared" si="3"/>
        <v>يُعاد</v>
      </c>
      <c r="L48" s="11" t="str">
        <f t="shared" si="2"/>
        <v>-</v>
      </c>
    </row>
    <row r="49" spans="1:6" x14ac:dyDescent="0.4">
      <c r="A49" s="49"/>
      <c r="F49"/>
    </row>
    <row r="50" spans="1:6" x14ac:dyDescent="0.4">
      <c r="A50" s="49"/>
      <c r="F50"/>
    </row>
    <row r="51" spans="1:6" x14ac:dyDescent="0.4">
      <c r="A51" s="49"/>
      <c r="F51"/>
    </row>
    <row r="52" spans="1:6" x14ac:dyDescent="0.4">
      <c r="A52" s="49"/>
      <c r="F52"/>
    </row>
    <row r="53" spans="1:6" x14ac:dyDescent="0.4">
      <c r="A53" s="49"/>
      <c r="F53"/>
    </row>
    <row r="54" spans="1:6" x14ac:dyDescent="0.4">
      <c r="A54" s="49"/>
      <c r="F54"/>
    </row>
    <row r="55" spans="1:6" x14ac:dyDescent="0.4">
      <c r="A55" s="49"/>
      <c r="F55"/>
    </row>
    <row r="56" spans="1:6" x14ac:dyDescent="0.4">
      <c r="A56" s="49"/>
      <c r="F56"/>
    </row>
    <row r="57" spans="1:6" x14ac:dyDescent="0.4">
      <c r="A57" s="49"/>
      <c r="F57"/>
    </row>
    <row r="58" spans="1:6" x14ac:dyDescent="0.4">
      <c r="A58" s="49"/>
      <c r="F58"/>
    </row>
    <row r="59" spans="1:6" x14ac:dyDescent="0.4">
      <c r="A59" s="49"/>
      <c r="F59"/>
    </row>
    <row r="60" spans="1:6" x14ac:dyDescent="0.4">
      <c r="A60" s="49"/>
      <c r="F60"/>
    </row>
  </sheetData>
  <mergeCells count="4">
    <mergeCell ref="A3:A4"/>
    <mergeCell ref="B3:B4"/>
    <mergeCell ref="G3:G4"/>
    <mergeCell ref="L3:L4"/>
  </mergeCells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rightToLeft="1" workbookViewId="0">
      <selection activeCell="F1" sqref="F1"/>
    </sheetView>
  </sheetViews>
  <sheetFormatPr defaultRowHeight="30" x14ac:dyDescent="0.4"/>
  <cols>
    <col min="2" max="2" width="34" style="49" customWidth="1"/>
    <col min="3" max="3" width="11.75" style="49" customWidth="1"/>
    <col min="4" max="4" width="11.25" style="49" customWidth="1"/>
    <col min="5" max="5" width="11.375" style="49" customWidth="1"/>
    <col min="6" max="6" width="12.875" style="49" customWidth="1"/>
    <col min="7" max="7" width="9" customWidth="1"/>
    <col min="8" max="8" width="18.5" bestFit="1" customWidth="1"/>
  </cols>
  <sheetData>
    <row r="1" spans="1:12" ht="23.25" x14ac:dyDescent="0.35">
      <c r="B1"/>
      <c r="C1"/>
      <c r="D1" s="32" t="s">
        <v>411</v>
      </c>
      <c r="E1" s="32"/>
      <c r="F1" s="32"/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19.5" customHeight="1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200</v>
      </c>
      <c r="C5" s="51">
        <v>10</v>
      </c>
      <c r="D5" s="51">
        <v>10</v>
      </c>
      <c r="E5" s="53">
        <v>8</v>
      </c>
      <c r="F5" s="55">
        <v>5</v>
      </c>
      <c r="G5" s="9">
        <f t="shared" ref="G5:G56" si="0">SUM(C5:F5)</f>
        <v>33</v>
      </c>
      <c r="H5" s="10" t="str">
        <f>IF(C5&gt;=8.6,"ممتاز",IF(C5&gt;=7.5,"جيد جداً",IF(C5&gt;=6.5,"جيد",IF(C5&gt;=5,"مقبول","يُعاد"))))</f>
        <v>ممتاز</v>
      </c>
      <c r="I5" s="10" t="str">
        <f>IF(D5&gt;=8.6,"ممتاز",IF(D5&gt;=7.6,"جيد جداً",IF(D5&gt;=6.6,"جيد",IF(D5&gt;=5,"مقبول","يُعاد"))))</f>
        <v>ممتاز</v>
      </c>
      <c r="J5" s="10" t="str">
        <f>IF(E5&gt;=8.6,"ممتاز",IF(E5&gt;=7.6,"جيد جداً",IF(E5&gt;=6.6,"جيد",IF(E5&gt;=5,"مقبول","يُعاد"))))</f>
        <v>جيد جداً</v>
      </c>
      <c r="K5" s="10" t="str">
        <f>IF(F5&gt;=8.6,"ممتاز",IF(F5&gt;=7.6,"جيد جداً",IF(F5&gt;=6.6,"جيد",IF(F5&gt;=5,"مقبول","يُعاد"))))</f>
        <v>مقبول</v>
      </c>
      <c r="L5" s="11" t="str">
        <f>IF(G5&gt;=35,"ممتاز",IF(G5&gt;=31,"جيد جداً",IF(G5&gt;=26,"جيد",IF(G5&gt;=20,"مقبول","-"))))</f>
        <v>جيد جداً</v>
      </c>
    </row>
    <row r="6" spans="1:12" ht="31.5" x14ac:dyDescent="0.2">
      <c r="A6" s="4">
        <v>2</v>
      </c>
      <c r="B6" s="48" t="s">
        <v>201</v>
      </c>
      <c r="C6" s="52">
        <v>8</v>
      </c>
      <c r="D6" s="52">
        <v>7</v>
      </c>
      <c r="E6" s="52">
        <v>5</v>
      </c>
      <c r="F6" s="56">
        <v>8</v>
      </c>
      <c r="G6" s="9">
        <f t="shared" si="0"/>
        <v>28</v>
      </c>
      <c r="H6" s="10" t="str">
        <f t="shared" ref="H6:K31" si="1">IF(C6&gt;=8.6,"ممتاز",IF(C6&gt;=7.6,"جيد جداً",IF(C6&gt;=6.6,"جيد",IF(C6&gt;=5,"مقبول","يُعاد"))))</f>
        <v>جيد جداً</v>
      </c>
      <c r="I6" s="10" t="str">
        <f t="shared" si="1"/>
        <v>جيد</v>
      </c>
      <c r="J6" s="10" t="str">
        <f t="shared" si="1"/>
        <v>مقبول</v>
      </c>
      <c r="K6" s="10" t="str">
        <f t="shared" si="1"/>
        <v>جيد جداً</v>
      </c>
      <c r="L6" s="11" t="str">
        <f t="shared" ref="L6:L56" si="2">IF(G6&gt;=35,"ممتاز",IF(G6&gt;=31,"جيد جداً",IF(G6&gt;=26,"جيد",IF(G6&gt;=20,"مقبول","-"))))</f>
        <v>جيد</v>
      </c>
    </row>
    <row r="7" spans="1:12" ht="31.5" x14ac:dyDescent="0.2">
      <c r="A7" s="4">
        <v>3</v>
      </c>
      <c r="B7" s="48" t="s">
        <v>202</v>
      </c>
      <c r="C7" s="52">
        <v>9</v>
      </c>
      <c r="D7" s="52">
        <v>7</v>
      </c>
      <c r="E7" s="52">
        <v>10</v>
      </c>
      <c r="F7" s="56">
        <v>6.8</v>
      </c>
      <c r="G7" s="9">
        <f t="shared" si="0"/>
        <v>32.799999999999997</v>
      </c>
      <c r="H7" s="10" t="str">
        <f t="shared" si="1"/>
        <v>ممتاز</v>
      </c>
      <c r="I7" s="10" t="str">
        <f t="shared" si="1"/>
        <v>جيد</v>
      </c>
      <c r="J7" s="10" t="str">
        <f t="shared" si="1"/>
        <v>ممتاز</v>
      </c>
      <c r="K7" s="10" t="str">
        <f t="shared" si="1"/>
        <v>جيد</v>
      </c>
      <c r="L7" s="11" t="str">
        <f t="shared" si="2"/>
        <v>جيد جداً</v>
      </c>
    </row>
    <row r="8" spans="1:12" ht="31.5" x14ac:dyDescent="0.2">
      <c r="A8" s="4">
        <v>4</v>
      </c>
      <c r="B8" s="48" t="s">
        <v>203</v>
      </c>
      <c r="C8" s="52">
        <v>9</v>
      </c>
      <c r="D8" s="52">
        <v>6</v>
      </c>
      <c r="E8" s="52">
        <v>6</v>
      </c>
      <c r="F8" s="56">
        <v>1.5</v>
      </c>
      <c r="G8" s="9">
        <f t="shared" si="0"/>
        <v>22.5</v>
      </c>
      <c r="H8" s="10" t="str">
        <f t="shared" si="1"/>
        <v>ممتاز</v>
      </c>
      <c r="I8" s="10" t="str">
        <f t="shared" si="1"/>
        <v>مقبول</v>
      </c>
      <c r="J8" s="10" t="str">
        <f t="shared" si="1"/>
        <v>مقبول</v>
      </c>
      <c r="K8" s="10" t="str">
        <f t="shared" si="1"/>
        <v>يُعاد</v>
      </c>
      <c r="L8" s="11" t="str">
        <f t="shared" si="2"/>
        <v>مقبول</v>
      </c>
    </row>
    <row r="9" spans="1:12" ht="31.5" x14ac:dyDescent="0.2">
      <c r="A9" s="4">
        <v>5</v>
      </c>
      <c r="B9" s="48" t="s">
        <v>204</v>
      </c>
      <c r="C9" s="52">
        <v>8</v>
      </c>
      <c r="D9" s="52">
        <v>8</v>
      </c>
      <c r="E9" s="52">
        <v>6</v>
      </c>
      <c r="F9" s="56">
        <v>9.4</v>
      </c>
      <c r="G9" s="9">
        <f t="shared" si="0"/>
        <v>31.4</v>
      </c>
      <c r="H9" s="10" t="str">
        <f t="shared" si="1"/>
        <v>جيد جداً</v>
      </c>
      <c r="I9" s="10" t="str">
        <f t="shared" si="1"/>
        <v>جيد جداً</v>
      </c>
      <c r="J9" s="10" t="str">
        <f t="shared" si="1"/>
        <v>مقبول</v>
      </c>
      <c r="K9" s="10" t="str">
        <f t="shared" si="1"/>
        <v>ممتاز</v>
      </c>
      <c r="L9" s="11" t="str">
        <f t="shared" si="2"/>
        <v>جيد جداً</v>
      </c>
    </row>
    <row r="10" spans="1:12" ht="31.5" x14ac:dyDescent="0.2">
      <c r="A10" s="4">
        <v>6</v>
      </c>
      <c r="B10" s="48" t="s">
        <v>42</v>
      </c>
      <c r="C10" s="52">
        <v>7</v>
      </c>
      <c r="D10" s="52">
        <v>6</v>
      </c>
      <c r="E10" s="52">
        <v>5</v>
      </c>
      <c r="F10" s="56">
        <v>2.5</v>
      </c>
      <c r="G10" s="9">
        <f t="shared" si="0"/>
        <v>20.5</v>
      </c>
      <c r="H10" s="10" t="str">
        <f t="shared" si="1"/>
        <v>جيد</v>
      </c>
      <c r="I10" s="10" t="str">
        <f t="shared" si="1"/>
        <v>مقبول</v>
      </c>
      <c r="J10" s="10" t="str">
        <f t="shared" si="1"/>
        <v>مقبول</v>
      </c>
      <c r="K10" s="10" t="str">
        <f t="shared" si="1"/>
        <v>يُعاد</v>
      </c>
      <c r="L10" s="11" t="str">
        <f t="shared" si="2"/>
        <v>مقبول</v>
      </c>
    </row>
    <row r="11" spans="1:12" ht="31.5" x14ac:dyDescent="0.2">
      <c r="A11" s="4">
        <v>7</v>
      </c>
      <c r="B11" s="48" t="s">
        <v>205</v>
      </c>
      <c r="C11" s="52">
        <v>8</v>
      </c>
      <c r="D11" s="52">
        <v>5</v>
      </c>
      <c r="E11" s="52">
        <v>5</v>
      </c>
      <c r="F11" s="56">
        <v>2</v>
      </c>
      <c r="G11" s="9">
        <f t="shared" si="0"/>
        <v>20</v>
      </c>
      <c r="H11" s="10" t="str">
        <f t="shared" si="1"/>
        <v>جيد جداً</v>
      </c>
      <c r="I11" s="10" t="str">
        <f t="shared" si="1"/>
        <v>مقبول</v>
      </c>
      <c r="J11" s="10" t="str">
        <f t="shared" si="1"/>
        <v>مقبول</v>
      </c>
      <c r="K11" s="10" t="str">
        <f t="shared" si="1"/>
        <v>يُعاد</v>
      </c>
      <c r="L11" s="11" t="str">
        <f t="shared" si="2"/>
        <v>مقبول</v>
      </c>
    </row>
    <row r="12" spans="1:12" ht="31.5" x14ac:dyDescent="0.2">
      <c r="A12" s="4">
        <v>8</v>
      </c>
      <c r="B12" s="48" t="s">
        <v>51</v>
      </c>
      <c r="C12" s="52">
        <v>6</v>
      </c>
      <c r="D12" s="52">
        <v>5</v>
      </c>
      <c r="E12" s="52">
        <v>5</v>
      </c>
      <c r="F12" s="56">
        <v>0.5</v>
      </c>
      <c r="G12" s="9">
        <f t="shared" si="0"/>
        <v>16.5</v>
      </c>
      <c r="H12" s="10" t="str">
        <f t="shared" si="1"/>
        <v>مقبول</v>
      </c>
      <c r="I12" s="10" t="str">
        <f t="shared" si="1"/>
        <v>مقبول</v>
      </c>
      <c r="J12" s="10" t="str">
        <f t="shared" si="1"/>
        <v>مقبول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45</v>
      </c>
      <c r="C13" s="52">
        <v>6</v>
      </c>
      <c r="D13" s="52">
        <v>6</v>
      </c>
      <c r="E13" s="52">
        <v>5</v>
      </c>
      <c r="F13" s="56">
        <v>7</v>
      </c>
      <c r="G13" s="9">
        <f t="shared" si="0"/>
        <v>24</v>
      </c>
      <c r="H13" s="10" t="str">
        <f t="shared" si="1"/>
        <v>مقبول</v>
      </c>
      <c r="I13" s="10" t="str">
        <f t="shared" si="1"/>
        <v>مقبول</v>
      </c>
      <c r="J13" s="10" t="str">
        <f t="shared" si="1"/>
        <v>مقبول</v>
      </c>
      <c r="K13" s="10" t="str">
        <f t="shared" si="1"/>
        <v>جيد</v>
      </c>
      <c r="L13" s="11" t="str">
        <f t="shared" si="2"/>
        <v>مقبول</v>
      </c>
    </row>
    <row r="14" spans="1:12" ht="31.5" x14ac:dyDescent="0.2">
      <c r="A14" s="4">
        <v>10</v>
      </c>
      <c r="B14" s="48" t="s">
        <v>206</v>
      </c>
      <c r="C14" s="52">
        <v>6</v>
      </c>
      <c r="D14" s="52">
        <v>5</v>
      </c>
      <c r="E14" s="52">
        <v>5</v>
      </c>
      <c r="F14" s="56">
        <v>2.8</v>
      </c>
      <c r="G14" s="9">
        <f t="shared" si="0"/>
        <v>18.8</v>
      </c>
      <c r="H14" s="10" t="str">
        <f t="shared" si="1"/>
        <v>مقبول</v>
      </c>
      <c r="I14" s="10" t="str">
        <f t="shared" si="1"/>
        <v>مقبول</v>
      </c>
      <c r="J14" s="10" t="str">
        <f t="shared" si="1"/>
        <v>مقبول</v>
      </c>
      <c r="K14" s="10" t="str">
        <f t="shared" si="1"/>
        <v>يُعاد</v>
      </c>
      <c r="L14" s="11" t="str">
        <f t="shared" si="2"/>
        <v>-</v>
      </c>
    </row>
    <row r="15" spans="1:12" ht="31.5" x14ac:dyDescent="0.2">
      <c r="A15" s="4">
        <v>11</v>
      </c>
      <c r="B15" s="48" t="s">
        <v>207</v>
      </c>
      <c r="C15" s="52"/>
      <c r="D15" s="52"/>
      <c r="E15" s="52"/>
      <c r="F15" s="56"/>
      <c r="G15" s="9">
        <f t="shared" si="0"/>
        <v>0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يُعاد</v>
      </c>
      <c r="L15" s="11" t="str">
        <f t="shared" si="2"/>
        <v>-</v>
      </c>
    </row>
    <row r="16" spans="1:12" ht="31.5" x14ac:dyDescent="0.2">
      <c r="A16" s="4">
        <v>12</v>
      </c>
      <c r="B16" s="48" t="s">
        <v>49</v>
      </c>
      <c r="C16" s="52">
        <v>10</v>
      </c>
      <c r="D16" s="52">
        <v>10</v>
      </c>
      <c r="E16" s="52">
        <v>10</v>
      </c>
      <c r="F16" s="56">
        <v>10</v>
      </c>
      <c r="G16" s="9">
        <f t="shared" si="0"/>
        <v>40</v>
      </c>
      <c r="H16" s="10" t="str">
        <f t="shared" si="1"/>
        <v>ممتاز</v>
      </c>
      <c r="I16" s="10" t="str">
        <f t="shared" si="1"/>
        <v>ممتاز</v>
      </c>
      <c r="J16" s="10" t="str">
        <f t="shared" si="1"/>
        <v>ممتاز</v>
      </c>
      <c r="K16" s="10" t="str">
        <f t="shared" si="1"/>
        <v>ممتاز</v>
      </c>
      <c r="L16" s="11" t="str">
        <f t="shared" si="2"/>
        <v>ممتاز</v>
      </c>
    </row>
    <row r="17" spans="1:12" ht="31.5" x14ac:dyDescent="0.2">
      <c r="A17" s="4">
        <v>13</v>
      </c>
      <c r="B17" s="48" t="s">
        <v>208</v>
      </c>
      <c r="C17" s="52">
        <v>10</v>
      </c>
      <c r="D17" s="52">
        <v>10</v>
      </c>
      <c r="E17" s="52">
        <v>10</v>
      </c>
      <c r="F17" s="56">
        <v>6.3</v>
      </c>
      <c r="G17" s="9">
        <f t="shared" si="0"/>
        <v>36.299999999999997</v>
      </c>
      <c r="H17" s="10" t="str">
        <f t="shared" si="1"/>
        <v>ممتاز</v>
      </c>
      <c r="I17" s="10" t="str">
        <f t="shared" si="1"/>
        <v>ممتاز</v>
      </c>
      <c r="J17" s="10" t="str">
        <f t="shared" si="1"/>
        <v>ممتاز</v>
      </c>
      <c r="K17" s="10" t="str">
        <f t="shared" si="1"/>
        <v>مقبول</v>
      </c>
      <c r="L17" s="11" t="str">
        <f t="shared" si="2"/>
        <v>ممتاز</v>
      </c>
    </row>
    <row r="18" spans="1:12" ht="31.5" x14ac:dyDescent="0.2">
      <c r="A18" s="4">
        <v>14</v>
      </c>
      <c r="B18" s="48" t="s">
        <v>43</v>
      </c>
      <c r="C18" s="52"/>
      <c r="D18" s="52"/>
      <c r="E18" s="52"/>
      <c r="F18" s="56"/>
      <c r="G18" s="9">
        <f t="shared" si="0"/>
        <v>0</v>
      </c>
      <c r="H18" s="10" t="str">
        <f t="shared" si="1"/>
        <v>يُعاد</v>
      </c>
      <c r="I18" s="10" t="str">
        <f t="shared" si="1"/>
        <v>يُعاد</v>
      </c>
      <c r="J18" s="10" t="str">
        <f t="shared" si="1"/>
        <v>يُعاد</v>
      </c>
      <c r="K18" s="10" t="str">
        <f t="shared" si="1"/>
        <v>يُعاد</v>
      </c>
      <c r="L18" s="11" t="str">
        <f t="shared" si="2"/>
        <v>-</v>
      </c>
    </row>
    <row r="19" spans="1:12" ht="31.5" x14ac:dyDescent="0.2">
      <c r="A19" s="4">
        <v>15</v>
      </c>
      <c r="B19" s="48" t="s">
        <v>40</v>
      </c>
      <c r="C19" s="52">
        <v>10</v>
      </c>
      <c r="D19" s="52">
        <v>9</v>
      </c>
      <c r="E19" s="52">
        <v>10</v>
      </c>
      <c r="F19" s="56">
        <v>9.6999999999999993</v>
      </c>
      <c r="G19" s="9">
        <f t="shared" si="0"/>
        <v>38.700000000000003</v>
      </c>
      <c r="H19" s="10" t="str">
        <f t="shared" si="1"/>
        <v>ممتاز</v>
      </c>
      <c r="I19" s="10" t="str">
        <f t="shared" si="1"/>
        <v>ممتاز</v>
      </c>
      <c r="J19" s="10" t="str">
        <f t="shared" si="1"/>
        <v>ممتاز</v>
      </c>
      <c r="K19" s="10" t="str">
        <f t="shared" si="1"/>
        <v>ممتاز</v>
      </c>
      <c r="L19" s="11" t="str">
        <f t="shared" si="2"/>
        <v>ممتاز</v>
      </c>
    </row>
    <row r="20" spans="1:12" ht="31.5" x14ac:dyDescent="0.2">
      <c r="A20" s="4">
        <v>16</v>
      </c>
      <c r="B20" s="48" t="s">
        <v>47</v>
      </c>
      <c r="C20" s="52">
        <v>6</v>
      </c>
      <c r="D20" s="52">
        <v>6</v>
      </c>
      <c r="E20" s="52">
        <v>6</v>
      </c>
      <c r="F20" s="56">
        <v>1</v>
      </c>
      <c r="G20" s="9">
        <f t="shared" si="0"/>
        <v>19</v>
      </c>
      <c r="H20" s="10" t="str">
        <f t="shared" si="1"/>
        <v>مقبول</v>
      </c>
      <c r="I20" s="10" t="str">
        <f t="shared" si="1"/>
        <v>مقبول</v>
      </c>
      <c r="J20" s="10" t="str">
        <f t="shared" si="1"/>
        <v>مقبول</v>
      </c>
      <c r="K20" s="10" t="str">
        <f t="shared" si="1"/>
        <v>يُعاد</v>
      </c>
      <c r="L20" s="11" t="str">
        <f t="shared" si="2"/>
        <v>-</v>
      </c>
    </row>
    <row r="21" spans="1:12" ht="31.5" x14ac:dyDescent="0.2">
      <c r="A21" s="4">
        <v>17</v>
      </c>
      <c r="B21" s="48" t="s">
        <v>209</v>
      </c>
      <c r="C21" s="52">
        <v>9</v>
      </c>
      <c r="D21" s="52">
        <v>10</v>
      </c>
      <c r="E21" s="52">
        <v>9</v>
      </c>
      <c r="F21" s="56">
        <v>9</v>
      </c>
      <c r="G21" s="9">
        <f t="shared" si="0"/>
        <v>37</v>
      </c>
      <c r="H21" s="10" t="str">
        <f t="shared" si="1"/>
        <v>ممتاز</v>
      </c>
      <c r="I21" s="10" t="str">
        <f t="shared" si="1"/>
        <v>ممتاز</v>
      </c>
      <c r="J21" s="10" t="str">
        <f t="shared" si="1"/>
        <v>ممتاز</v>
      </c>
      <c r="K21" s="10" t="str">
        <f t="shared" si="1"/>
        <v>ممتاز</v>
      </c>
      <c r="L21" s="11" t="str">
        <f t="shared" si="2"/>
        <v>ممتاز</v>
      </c>
    </row>
    <row r="22" spans="1:12" ht="31.5" x14ac:dyDescent="0.2">
      <c r="A22" s="4">
        <v>18</v>
      </c>
      <c r="B22" s="48" t="s">
        <v>210</v>
      </c>
      <c r="C22" s="52">
        <v>9</v>
      </c>
      <c r="D22" s="52">
        <v>10</v>
      </c>
      <c r="E22" s="52">
        <v>10</v>
      </c>
      <c r="F22" s="56">
        <v>10</v>
      </c>
      <c r="G22" s="9">
        <f t="shared" si="0"/>
        <v>39</v>
      </c>
      <c r="H22" s="10" t="str">
        <f t="shared" si="1"/>
        <v>ممتاز</v>
      </c>
      <c r="I22" s="10" t="str">
        <f t="shared" si="1"/>
        <v>ممتاز</v>
      </c>
      <c r="J22" s="10" t="str">
        <f t="shared" si="1"/>
        <v>ممتاز</v>
      </c>
      <c r="K22" s="10" t="str">
        <f t="shared" si="1"/>
        <v>ممتاز</v>
      </c>
      <c r="L22" s="11" t="str">
        <f t="shared" si="2"/>
        <v>ممتاز</v>
      </c>
    </row>
    <row r="23" spans="1:12" ht="31.5" x14ac:dyDescent="0.2">
      <c r="A23" s="4">
        <v>19</v>
      </c>
      <c r="B23" s="48" t="s">
        <v>44</v>
      </c>
      <c r="C23" s="52">
        <v>10</v>
      </c>
      <c r="D23" s="52">
        <v>10</v>
      </c>
      <c r="E23" s="52">
        <v>10</v>
      </c>
      <c r="F23" s="56">
        <v>7</v>
      </c>
      <c r="G23" s="9">
        <f t="shared" si="0"/>
        <v>37</v>
      </c>
      <c r="H23" s="10" t="str">
        <f t="shared" si="1"/>
        <v>ممتاز</v>
      </c>
      <c r="I23" s="10" t="str">
        <f t="shared" si="1"/>
        <v>ممتاز</v>
      </c>
      <c r="J23" s="10" t="str">
        <f t="shared" si="1"/>
        <v>ممتاز</v>
      </c>
      <c r="K23" s="10" t="str">
        <f t="shared" si="1"/>
        <v>جيد</v>
      </c>
      <c r="L23" s="11" t="str">
        <f t="shared" si="2"/>
        <v>ممتاز</v>
      </c>
    </row>
    <row r="24" spans="1:12" ht="31.5" x14ac:dyDescent="0.2">
      <c r="A24" s="4">
        <v>20</v>
      </c>
      <c r="B24" s="48" t="s">
        <v>211</v>
      </c>
      <c r="C24" s="52">
        <v>6</v>
      </c>
      <c r="D24" s="52">
        <v>4</v>
      </c>
      <c r="E24" s="52">
        <v>5</v>
      </c>
      <c r="F24" s="56">
        <v>1.5</v>
      </c>
      <c r="G24" s="9">
        <f t="shared" si="0"/>
        <v>16.5</v>
      </c>
      <c r="H24" s="10" t="str">
        <f t="shared" si="1"/>
        <v>مقبول</v>
      </c>
      <c r="I24" s="10" t="str">
        <f t="shared" si="1"/>
        <v>يُعاد</v>
      </c>
      <c r="J24" s="10" t="str">
        <f t="shared" si="1"/>
        <v>مقبول</v>
      </c>
      <c r="K24" s="10" t="str">
        <f t="shared" si="1"/>
        <v>يُعاد</v>
      </c>
      <c r="L24" s="11" t="str">
        <f t="shared" si="2"/>
        <v>-</v>
      </c>
    </row>
    <row r="25" spans="1:12" ht="31.5" x14ac:dyDescent="0.2">
      <c r="A25" s="4">
        <v>21</v>
      </c>
      <c r="B25" s="48" t="s">
        <v>212</v>
      </c>
      <c r="C25" s="52"/>
      <c r="D25" s="52"/>
      <c r="E25" s="52"/>
      <c r="F25" s="56"/>
      <c r="G25" s="9">
        <f t="shared" si="0"/>
        <v>0</v>
      </c>
      <c r="H25" s="10" t="str">
        <f t="shared" si="1"/>
        <v>يُعاد</v>
      </c>
      <c r="I25" s="10" t="str">
        <f t="shared" si="1"/>
        <v>يُعاد</v>
      </c>
      <c r="J25" s="10" t="str">
        <f t="shared" si="1"/>
        <v>يُعاد</v>
      </c>
      <c r="K25" s="10" t="str">
        <f t="shared" si="1"/>
        <v>يُعاد</v>
      </c>
      <c r="L25" s="11" t="str">
        <f t="shared" si="2"/>
        <v>-</v>
      </c>
    </row>
    <row r="26" spans="1:12" ht="31.5" x14ac:dyDescent="0.2">
      <c r="A26" s="4">
        <v>22</v>
      </c>
      <c r="B26" s="48" t="s">
        <v>52</v>
      </c>
      <c r="C26" s="52"/>
      <c r="D26" s="52"/>
      <c r="E26" s="52"/>
      <c r="F26" s="56"/>
      <c r="G26" s="9">
        <f t="shared" si="0"/>
        <v>0</v>
      </c>
      <c r="H26" s="10" t="str">
        <f t="shared" si="1"/>
        <v>يُعاد</v>
      </c>
      <c r="I26" s="10" t="str">
        <f t="shared" si="1"/>
        <v>يُعاد</v>
      </c>
      <c r="J26" s="10" t="str">
        <f t="shared" si="1"/>
        <v>يُعاد</v>
      </c>
      <c r="K26" s="10" t="str">
        <f t="shared" si="1"/>
        <v>يُعاد</v>
      </c>
      <c r="L26" s="11" t="str">
        <f t="shared" si="2"/>
        <v>-</v>
      </c>
    </row>
    <row r="27" spans="1:12" ht="31.5" x14ac:dyDescent="0.2">
      <c r="A27" s="4">
        <v>23</v>
      </c>
      <c r="B27" s="48" t="s">
        <v>50</v>
      </c>
      <c r="C27" s="52">
        <v>10</v>
      </c>
      <c r="D27" s="52">
        <v>10</v>
      </c>
      <c r="E27" s="52">
        <v>10</v>
      </c>
      <c r="F27" s="56">
        <v>9.9</v>
      </c>
      <c r="G27" s="9">
        <f t="shared" si="0"/>
        <v>39.9</v>
      </c>
      <c r="H27" s="10" t="str">
        <f t="shared" si="1"/>
        <v>ممتاز</v>
      </c>
      <c r="I27" s="10" t="str">
        <f t="shared" si="1"/>
        <v>ممتاز</v>
      </c>
      <c r="J27" s="10" t="str">
        <f t="shared" si="1"/>
        <v>ممتاز</v>
      </c>
      <c r="K27" s="10" t="str">
        <f t="shared" si="1"/>
        <v>ممتاز</v>
      </c>
      <c r="L27" s="11" t="str">
        <f t="shared" si="2"/>
        <v>ممتاز</v>
      </c>
    </row>
    <row r="28" spans="1:12" ht="31.5" x14ac:dyDescent="0.2">
      <c r="A28" s="4">
        <v>24</v>
      </c>
      <c r="B28" s="48" t="s">
        <v>213</v>
      </c>
      <c r="C28" s="52">
        <v>9</v>
      </c>
      <c r="D28" s="52">
        <v>10</v>
      </c>
      <c r="E28" s="52">
        <v>7</v>
      </c>
      <c r="F28" s="56">
        <v>9.6999999999999993</v>
      </c>
      <c r="G28" s="9">
        <f t="shared" si="0"/>
        <v>35.700000000000003</v>
      </c>
      <c r="H28" s="10" t="str">
        <f t="shared" si="1"/>
        <v>ممتاز</v>
      </c>
      <c r="I28" s="10" t="str">
        <f t="shared" si="1"/>
        <v>ممتاز</v>
      </c>
      <c r="J28" s="10" t="str">
        <f t="shared" si="1"/>
        <v>جيد</v>
      </c>
      <c r="K28" s="10" t="str">
        <f t="shared" si="1"/>
        <v>ممتاز</v>
      </c>
      <c r="L28" s="11" t="str">
        <f t="shared" si="2"/>
        <v>ممتاز</v>
      </c>
    </row>
    <row r="29" spans="1:12" ht="31.5" x14ac:dyDescent="0.2">
      <c r="A29" s="4">
        <v>25</v>
      </c>
      <c r="B29" s="48" t="s">
        <v>39</v>
      </c>
      <c r="C29" s="52"/>
      <c r="D29" s="52"/>
      <c r="E29" s="52"/>
      <c r="F29" s="56"/>
      <c r="G29" s="9">
        <f t="shared" si="0"/>
        <v>0</v>
      </c>
      <c r="H29" s="10" t="str">
        <f t="shared" si="1"/>
        <v>يُعاد</v>
      </c>
      <c r="I29" s="10" t="str">
        <f t="shared" si="1"/>
        <v>يُعاد</v>
      </c>
      <c r="J29" s="10" t="str">
        <f t="shared" si="1"/>
        <v>يُعاد</v>
      </c>
      <c r="K29" s="10" t="str">
        <f t="shared" si="1"/>
        <v>يُعاد</v>
      </c>
      <c r="L29" s="11" t="str">
        <f t="shared" si="2"/>
        <v>-</v>
      </c>
    </row>
    <row r="30" spans="1:12" ht="31.5" x14ac:dyDescent="0.2">
      <c r="A30" s="4">
        <v>26</v>
      </c>
      <c r="B30" s="48" t="s">
        <v>53</v>
      </c>
      <c r="C30" s="52">
        <v>7</v>
      </c>
      <c r="D30" s="52">
        <v>7</v>
      </c>
      <c r="E30" s="52">
        <v>10</v>
      </c>
      <c r="F30" s="56">
        <v>5</v>
      </c>
      <c r="G30" s="9">
        <f t="shared" si="0"/>
        <v>29</v>
      </c>
      <c r="H30" s="10" t="str">
        <f t="shared" si="1"/>
        <v>جيد</v>
      </c>
      <c r="I30" s="10" t="str">
        <f t="shared" si="1"/>
        <v>جيد</v>
      </c>
      <c r="J30" s="10" t="str">
        <f t="shared" si="1"/>
        <v>ممتاز</v>
      </c>
      <c r="K30" s="10" t="str">
        <f t="shared" si="1"/>
        <v>مقبول</v>
      </c>
      <c r="L30" s="11" t="str">
        <f t="shared" si="2"/>
        <v>جيد</v>
      </c>
    </row>
    <row r="31" spans="1:12" ht="31.5" x14ac:dyDescent="0.2">
      <c r="A31" s="4">
        <v>27</v>
      </c>
      <c r="B31" s="48" t="s">
        <v>214</v>
      </c>
      <c r="C31" s="52"/>
      <c r="D31" s="52"/>
      <c r="E31" s="52"/>
      <c r="F31" s="56"/>
      <c r="G31" s="9">
        <f t="shared" si="0"/>
        <v>0</v>
      </c>
      <c r="H31" s="10" t="str">
        <f t="shared" si="1"/>
        <v>يُعاد</v>
      </c>
      <c r="I31" s="10" t="str">
        <f t="shared" si="1"/>
        <v>يُعاد</v>
      </c>
      <c r="J31" s="10" t="str">
        <f t="shared" si="1"/>
        <v>يُعاد</v>
      </c>
      <c r="K31" s="10" t="str">
        <f t="shared" si="1"/>
        <v>يُعاد</v>
      </c>
      <c r="L31" s="11" t="str">
        <f t="shared" si="2"/>
        <v>-</v>
      </c>
    </row>
    <row r="32" spans="1:12" ht="31.5" x14ac:dyDescent="0.2">
      <c r="A32" s="4">
        <v>28</v>
      </c>
      <c r="B32" s="48" t="s">
        <v>48</v>
      </c>
      <c r="C32" s="52">
        <v>7</v>
      </c>
      <c r="D32" s="52">
        <v>5</v>
      </c>
      <c r="E32" s="52">
        <v>7</v>
      </c>
      <c r="F32" s="56">
        <v>0.5</v>
      </c>
      <c r="G32" s="9">
        <f t="shared" si="0"/>
        <v>19.5</v>
      </c>
      <c r="H32" s="10" t="str">
        <f t="shared" ref="H32:K49" si="3">IF(C32&gt;=8.6,"ممتاز",IF(C32&gt;=7.6,"جيد جداً",IF(C32&gt;=6.6,"جيد",IF(C32&gt;=5,"مقبول","يُعاد"))))</f>
        <v>جيد</v>
      </c>
      <c r="I32" s="10" t="str">
        <f t="shared" si="3"/>
        <v>مقبول</v>
      </c>
      <c r="J32" s="10" t="str">
        <f t="shared" si="3"/>
        <v>جيد</v>
      </c>
      <c r="K32" s="10" t="str">
        <f t="shared" si="3"/>
        <v>يُعاد</v>
      </c>
      <c r="L32" s="11" t="str">
        <f t="shared" si="2"/>
        <v>-</v>
      </c>
    </row>
    <row r="33" spans="1:12" ht="31.5" x14ac:dyDescent="0.2">
      <c r="A33" s="4">
        <v>29</v>
      </c>
      <c r="B33" s="48" t="s">
        <v>215</v>
      </c>
      <c r="C33" s="52">
        <v>6</v>
      </c>
      <c r="D33" s="52">
        <v>5</v>
      </c>
      <c r="E33" s="52">
        <v>5</v>
      </c>
      <c r="F33" s="56">
        <v>7</v>
      </c>
      <c r="G33" s="9">
        <f t="shared" si="0"/>
        <v>23</v>
      </c>
      <c r="H33" s="10" t="str">
        <f t="shared" si="3"/>
        <v>مقبول</v>
      </c>
      <c r="I33" s="10" t="str">
        <f t="shared" si="3"/>
        <v>مقبول</v>
      </c>
      <c r="J33" s="10" t="str">
        <f t="shared" si="3"/>
        <v>مقبول</v>
      </c>
      <c r="K33" s="10" t="str">
        <f t="shared" si="3"/>
        <v>جيد</v>
      </c>
      <c r="L33" s="11" t="str">
        <f t="shared" si="2"/>
        <v>مقبول</v>
      </c>
    </row>
    <row r="34" spans="1:12" ht="31.5" x14ac:dyDescent="0.2">
      <c r="A34" s="4">
        <v>30</v>
      </c>
      <c r="B34" s="48" t="s">
        <v>46</v>
      </c>
      <c r="C34" s="52"/>
      <c r="D34" s="52"/>
      <c r="E34" s="52"/>
      <c r="F34" s="56"/>
      <c r="G34" s="9">
        <f t="shared" si="0"/>
        <v>0</v>
      </c>
      <c r="H34" s="10" t="str">
        <f t="shared" si="3"/>
        <v>يُعاد</v>
      </c>
      <c r="I34" s="10" t="str">
        <f t="shared" si="3"/>
        <v>يُعاد</v>
      </c>
      <c r="J34" s="10" t="str">
        <f t="shared" si="3"/>
        <v>يُعاد</v>
      </c>
      <c r="K34" s="10" t="str">
        <f t="shared" si="3"/>
        <v>يُعاد</v>
      </c>
      <c r="L34" s="11" t="str">
        <f t="shared" si="2"/>
        <v>-</v>
      </c>
    </row>
    <row r="35" spans="1:12" ht="31.5" x14ac:dyDescent="0.2">
      <c r="A35" s="4">
        <v>31</v>
      </c>
      <c r="B35" s="48" t="s">
        <v>216</v>
      </c>
      <c r="C35" s="52">
        <v>6</v>
      </c>
      <c r="D35" s="52">
        <v>7</v>
      </c>
      <c r="E35" s="52">
        <v>5</v>
      </c>
      <c r="F35" s="56">
        <v>5.5</v>
      </c>
      <c r="G35" s="9">
        <f t="shared" si="0"/>
        <v>23.5</v>
      </c>
      <c r="H35" s="10" t="str">
        <f t="shared" si="3"/>
        <v>مقبول</v>
      </c>
      <c r="I35" s="10" t="str">
        <f t="shared" si="3"/>
        <v>جيد</v>
      </c>
      <c r="J35" s="10" t="str">
        <f t="shared" si="3"/>
        <v>مقبول</v>
      </c>
      <c r="K35" s="10" t="str">
        <f t="shared" si="3"/>
        <v>مقبول</v>
      </c>
      <c r="L35" s="11" t="str">
        <f t="shared" si="2"/>
        <v>مقبول</v>
      </c>
    </row>
    <row r="36" spans="1:12" ht="31.5" x14ac:dyDescent="0.2">
      <c r="A36" s="4">
        <v>32</v>
      </c>
      <c r="B36" s="48" t="s">
        <v>217</v>
      </c>
      <c r="C36" s="52">
        <v>8</v>
      </c>
      <c r="D36" s="52">
        <v>6</v>
      </c>
      <c r="E36" s="52">
        <v>5</v>
      </c>
      <c r="F36" s="56">
        <v>6</v>
      </c>
      <c r="G36" s="9">
        <f t="shared" si="0"/>
        <v>25</v>
      </c>
      <c r="H36" s="10" t="str">
        <f t="shared" si="3"/>
        <v>جيد جداً</v>
      </c>
      <c r="I36" s="10" t="str">
        <f t="shared" si="3"/>
        <v>مقبول</v>
      </c>
      <c r="J36" s="10" t="str">
        <f t="shared" si="3"/>
        <v>مقبول</v>
      </c>
      <c r="K36" s="10" t="str">
        <f t="shared" si="3"/>
        <v>مقبول</v>
      </c>
      <c r="L36" s="11" t="str">
        <f t="shared" si="2"/>
        <v>مقبول</v>
      </c>
    </row>
    <row r="37" spans="1:12" ht="31.5" x14ac:dyDescent="0.2">
      <c r="A37" s="4">
        <v>33</v>
      </c>
      <c r="B37" s="48" t="s">
        <v>218</v>
      </c>
      <c r="C37" s="52">
        <v>8</v>
      </c>
      <c r="D37" s="52">
        <v>6</v>
      </c>
      <c r="E37" s="52">
        <v>5</v>
      </c>
      <c r="F37" s="56">
        <v>3.5</v>
      </c>
      <c r="G37" s="9">
        <f t="shared" si="0"/>
        <v>22.5</v>
      </c>
      <c r="H37" s="10" t="str">
        <f t="shared" si="3"/>
        <v>جيد جداً</v>
      </c>
      <c r="I37" s="10" t="str">
        <f t="shared" si="3"/>
        <v>مقبول</v>
      </c>
      <c r="J37" s="10" t="str">
        <f t="shared" si="3"/>
        <v>مقبول</v>
      </c>
      <c r="K37" s="10" t="str">
        <f t="shared" si="3"/>
        <v>يُعاد</v>
      </c>
      <c r="L37" s="11" t="str">
        <f t="shared" si="2"/>
        <v>مقبول</v>
      </c>
    </row>
    <row r="38" spans="1:12" ht="31.5" x14ac:dyDescent="0.2">
      <c r="A38" s="4">
        <v>34</v>
      </c>
      <c r="B38" s="48" t="s">
        <v>219</v>
      </c>
      <c r="C38" s="52"/>
      <c r="D38" s="52"/>
      <c r="E38" s="52"/>
      <c r="F38" s="56"/>
      <c r="G38" s="9">
        <f t="shared" si="0"/>
        <v>0</v>
      </c>
      <c r="H38" s="10" t="str">
        <f t="shared" si="3"/>
        <v>يُعاد</v>
      </c>
      <c r="I38" s="10" t="str">
        <f t="shared" si="3"/>
        <v>يُعاد</v>
      </c>
      <c r="J38" s="10" t="str">
        <f t="shared" si="3"/>
        <v>يُعاد</v>
      </c>
      <c r="K38" s="10" t="str">
        <f t="shared" si="3"/>
        <v>يُعاد</v>
      </c>
      <c r="L38" s="11" t="str">
        <f t="shared" si="2"/>
        <v>-</v>
      </c>
    </row>
    <row r="39" spans="1:12" ht="31.5" x14ac:dyDescent="0.2">
      <c r="A39" s="4">
        <v>35</v>
      </c>
      <c r="B39" s="48" t="s">
        <v>220</v>
      </c>
      <c r="C39" s="52"/>
      <c r="D39" s="52"/>
      <c r="E39" s="52"/>
      <c r="F39" s="56"/>
      <c r="G39" s="9">
        <f t="shared" si="0"/>
        <v>0</v>
      </c>
      <c r="H39" s="10" t="str">
        <f t="shared" si="3"/>
        <v>يُعاد</v>
      </c>
      <c r="I39" s="10" t="str">
        <f t="shared" si="3"/>
        <v>يُعاد</v>
      </c>
      <c r="J39" s="10" t="str">
        <f t="shared" si="3"/>
        <v>يُعاد</v>
      </c>
      <c r="K39" s="10" t="str">
        <f t="shared" si="3"/>
        <v>يُعاد</v>
      </c>
      <c r="L39" s="11" t="str">
        <f t="shared" si="2"/>
        <v>-</v>
      </c>
    </row>
    <row r="40" spans="1:12" ht="31.5" x14ac:dyDescent="0.2">
      <c r="A40" s="4">
        <v>36</v>
      </c>
      <c r="B40" s="48" t="s">
        <v>221</v>
      </c>
      <c r="C40" s="52">
        <v>10</v>
      </c>
      <c r="D40" s="52">
        <v>9</v>
      </c>
      <c r="E40" s="52">
        <v>10</v>
      </c>
      <c r="F40" s="56">
        <v>6.5</v>
      </c>
      <c r="G40" s="9">
        <f t="shared" si="0"/>
        <v>35.5</v>
      </c>
      <c r="H40" s="10" t="str">
        <f t="shared" si="3"/>
        <v>ممتاز</v>
      </c>
      <c r="I40" s="10" t="str">
        <f t="shared" si="3"/>
        <v>ممتاز</v>
      </c>
      <c r="J40" s="10" t="str">
        <f t="shared" si="3"/>
        <v>ممتاز</v>
      </c>
      <c r="K40" s="10" t="str">
        <f t="shared" si="3"/>
        <v>مقبول</v>
      </c>
      <c r="L40" s="11" t="str">
        <f t="shared" si="2"/>
        <v>ممتاز</v>
      </c>
    </row>
    <row r="41" spans="1:12" ht="31.5" x14ac:dyDescent="0.2">
      <c r="A41" s="4">
        <v>37</v>
      </c>
      <c r="B41" s="48" t="s">
        <v>95</v>
      </c>
      <c r="C41" s="52">
        <v>9</v>
      </c>
      <c r="D41" s="52">
        <v>9</v>
      </c>
      <c r="E41" s="52">
        <v>6</v>
      </c>
      <c r="F41" s="56">
        <v>5</v>
      </c>
      <c r="G41" s="9">
        <f t="shared" si="0"/>
        <v>29</v>
      </c>
      <c r="H41" s="10" t="str">
        <f t="shared" si="3"/>
        <v>ممتاز</v>
      </c>
      <c r="I41" s="10" t="str">
        <f t="shared" si="3"/>
        <v>ممتاز</v>
      </c>
      <c r="J41" s="10" t="str">
        <f t="shared" si="3"/>
        <v>مقبول</v>
      </c>
      <c r="K41" s="10" t="str">
        <f t="shared" si="3"/>
        <v>مقبول</v>
      </c>
      <c r="L41" s="11" t="str">
        <f t="shared" si="2"/>
        <v>جيد</v>
      </c>
    </row>
    <row r="42" spans="1:12" ht="31.5" x14ac:dyDescent="0.2">
      <c r="A42" s="4">
        <v>38</v>
      </c>
      <c r="B42" s="48" t="s">
        <v>222</v>
      </c>
      <c r="C42" s="52">
        <v>9</v>
      </c>
      <c r="D42" s="52">
        <v>10</v>
      </c>
      <c r="E42" s="52">
        <v>10</v>
      </c>
      <c r="F42" s="56">
        <v>3.4</v>
      </c>
      <c r="G42" s="9">
        <f t="shared" si="0"/>
        <v>32.4</v>
      </c>
      <c r="H42" s="10" t="str">
        <f t="shared" si="3"/>
        <v>ممتاز</v>
      </c>
      <c r="I42" s="10" t="str">
        <f t="shared" si="3"/>
        <v>ممتاز</v>
      </c>
      <c r="J42" s="10" t="str">
        <f t="shared" si="3"/>
        <v>ممتاز</v>
      </c>
      <c r="K42" s="10" t="str">
        <f t="shared" si="3"/>
        <v>يُعاد</v>
      </c>
      <c r="L42" s="11" t="str">
        <f t="shared" si="2"/>
        <v>جيد جداً</v>
      </c>
    </row>
    <row r="43" spans="1:12" ht="31.5" x14ac:dyDescent="0.2">
      <c r="A43" s="4">
        <v>39</v>
      </c>
      <c r="B43" s="48" t="s">
        <v>223</v>
      </c>
      <c r="C43" s="52">
        <v>10</v>
      </c>
      <c r="D43" s="52">
        <v>9</v>
      </c>
      <c r="E43" s="52">
        <v>5</v>
      </c>
      <c r="F43" s="56">
        <v>7</v>
      </c>
      <c r="G43" s="9">
        <f t="shared" si="0"/>
        <v>31</v>
      </c>
      <c r="H43" s="10" t="str">
        <f t="shared" si="3"/>
        <v>ممتاز</v>
      </c>
      <c r="I43" s="10" t="str">
        <f t="shared" si="3"/>
        <v>ممتاز</v>
      </c>
      <c r="J43" s="10" t="str">
        <f t="shared" si="3"/>
        <v>مقبول</v>
      </c>
      <c r="K43" s="10" t="str">
        <f t="shared" si="3"/>
        <v>جيد</v>
      </c>
      <c r="L43" s="11" t="str">
        <f t="shared" si="2"/>
        <v>جيد جداً</v>
      </c>
    </row>
    <row r="44" spans="1:12" ht="31.5" x14ac:dyDescent="0.2">
      <c r="A44" s="4">
        <v>40</v>
      </c>
      <c r="B44" s="48" t="s">
        <v>41</v>
      </c>
      <c r="C44" s="52">
        <v>9</v>
      </c>
      <c r="D44" s="52">
        <v>10</v>
      </c>
      <c r="E44" s="52">
        <v>10</v>
      </c>
      <c r="F44" s="56">
        <v>10</v>
      </c>
      <c r="G44" s="9">
        <f t="shared" si="0"/>
        <v>39</v>
      </c>
      <c r="H44" s="10" t="str">
        <f t="shared" si="3"/>
        <v>ممتاز</v>
      </c>
      <c r="I44" s="10" t="str">
        <f t="shared" si="3"/>
        <v>ممتاز</v>
      </c>
      <c r="J44" s="10" t="str">
        <f t="shared" si="3"/>
        <v>ممتاز</v>
      </c>
      <c r="K44" s="10" t="str">
        <f t="shared" si="3"/>
        <v>ممتاز</v>
      </c>
      <c r="L44" s="11" t="str">
        <f t="shared" si="2"/>
        <v>ممتاز</v>
      </c>
    </row>
    <row r="45" spans="1:12" ht="31.5" x14ac:dyDescent="0.2">
      <c r="A45" s="4">
        <v>41</v>
      </c>
      <c r="B45" s="48" t="s">
        <v>224</v>
      </c>
      <c r="C45" s="52">
        <v>6</v>
      </c>
      <c r="D45" s="52">
        <v>8</v>
      </c>
      <c r="E45" s="52">
        <v>6</v>
      </c>
      <c r="F45" s="56">
        <v>9.8000000000000007</v>
      </c>
      <c r="G45" s="9">
        <f t="shared" si="0"/>
        <v>29.8</v>
      </c>
      <c r="H45" s="10" t="str">
        <f t="shared" si="3"/>
        <v>مقبول</v>
      </c>
      <c r="I45" s="10" t="str">
        <f t="shared" si="3"/>
        <v>جيد جداً</v>
      </c>
      <c r="J45" s="10" t="str">
        <f t="shared" si="3"/>
        <v>مقبول</v>
      </c>
      <c r="K45" s="10" t="str">
        <f t="shared" si="3"/>
        <v>ممتاز</v>
      </c>
      <c r="L45" s="11" t="str">
        <f t="shared" si="2"/>
        <v>جيد</v>
      </c>
    </row>
    <row r="46" spans="1:12" ht="31.5" x14ac:dyDescent="0.2">
      <c r="A46" s="4">
        <v>42</v>
      </c>
      <c r="B46" s="48" t="s">
        <v>225</v>
      </c>
      <c r="C46" s="52">
        <v>7</v>
      </c>
      <c r="D46" s="52">
        <v>7</v>
      </c>
      <c r="E46" s="52">
        <v>5</v>
      </c>
      <c r="F46" s="56">
        <v>6.45</v>
      </c>
      <c r="G46" s="9">
        <f t="shared" si="0"/>
        <v>25.45</v>
      </c>
      <c r="H46" s="10" t="str">
        <f t="shared" si="3"/>
        <v>جيد</v>
      </c>
      <c r="I46" s="10" t="str">
        <f t="shared" si="3"/>
        <v>جيد</v>
      </c>
      <c r="J46" s="10" t="str">
        <f t="shared" si="3"/>
        <v>مقبول</v>
      </c>
      <c r="K46" s="10" t="str">
        <f t="shared" si="3"/>
        <v>مقبول</v>
      </c>
      <c r="L46" s="11" t="str">
        <f t="shared" si="2"/>
        <v>مقبول</v>
      </c>
    </row>
    <row r="47" spans="1:12" ht="31.5" x14ac:dyDescent="0.2">
      <c r="A47" s="4">
        <v>43</v>
      </c>
      <c r="B47" s="48" t="s">
        <v>226</v>
      </c>
      <c r="C47" s="52">
        <v>7</v>
      </c>
      <c r="D47" s="52">
        <v>10</v>
      </c>
      <c r="E47" s="52">
        <v>8</v>
      </c>
      <c r="F47" s="56">
        <v>9.3000000000000007</v>
      </c>
      <c r="G47" s="9">
        <f t="shared" si="0"/>
        <v>34.299999999999997</v>
      </c>
      <c r="H47" s="10" t="str">
        <f t="shared" si="3"/>
        <v>جيد</v>
      </c>
      <c r="I47" s="10" t="str">
        <f t="shared" si="3"/>
        <v>ممتاز</v>
      </c>
      <c r="J47" s="10" t="str">
        <f t="shared" si="3"/>
        <v>جيد جداً</v>
      </c>
      <c r="K47" s="10" t="str">
        <f t="shared" si="3"/>
        <v>ممتاز</v>
      </c>
      <c r="L47" s="11" t="str">
        <f t="shared" si="2"/>
        <v>جيد جداً</v>
      </c>
    </row>
    <row r="48" spans="1:12" ht="31.5" x14ac:dyDescent="0.2">
      <c r="A48" s="4">
        <v>44</v>
      </c>
      <c r="B48" s="48" t="s">
        <v>227</v>
      </c>
      <c r="C48" s="52"/>
      <c r="D48" s="52"/>
      <c r="E48" s="52"/>
      <c r="F48" s="56"/>
      <c r="G48" s="9">
        <f t="shared" si="0"/>
        <v>0</v>
      </c>
      <c r="H48" s="10" t="str">
        <f t="shared" si="3"/>
        <v>يُعاد</v>
      </c>
      <c r="I48" s="10" t="str">
        <f t="shared" si="3"/>
        <v>يُعاد</v>
      </c>
      <c r="J48" s="10" t="str">
        <f t="shared" si="3"/>
        <v>يُعاد</v>
      </c>
      <c r="K48" s="10" t="str">
        <f t="shared" si="3"/>
        <v>يُعاد</v>
      </c>
      <c r="L48" s="11" t="str">
        <f t="shared" si="2"/>
        <v>-</v>
      </c>
    </row>
    <row r="49" spans="1:12" ht="31.5" x14ac:dyDescent="0.2">
      <c r="A49" s="4">
        <v>45</v>
      </c>
      <c r="B49" s="48" t="s">
        <v>228</v>
      </c>
      <c r="C49" s="52">
        <v>10</v>
      </c>
      <c r="D49" s="52">
        <v>10</v>
      </c>
      <c r="E49" s="52">
        <v>10</v>
      </c>
      <c r="F49" s="56">
        <v>10</v>
      </c>
      <c r="G49" s="9">
        <f t="shared" si="0"/>
        <v>40</v>
      </c>
      <c r="H49" s="10" t="str">
        <f t="shared" si="3"/>
        <v>ممتاز</v>
      </c>
      <c r="I49" s="10" t="str">
        <f t="shared" si="3"/>
        <v>ممتاز</v>
      </c>
      <c r="J49" s="10" t="str">
        <f t="shared" si="3"/>
        <v>ممتاز</v>
      </c>
      <c r="K49" s="10" t="str">
        <f t="shared" si="3"/>
        <v>ممتاز</v>
      </c>
      <c r="L49" s="11" t="str">
        <f t="shared" si="2"/>
        <v>ممتاز</v>
      </c>
    </row>
    <row r="50" spans="1:12" ht="31.5" x14ac:dyDescent="0.2">
      <c r="A50" s="4">
        <v>46</v>
      </c>
      <c r="B50" s="48" t="s">
        <v>229</v>
      </c>
      <c r="C50" s="52">
        <v>10</v>
      </c>
      <c r="D50" s="52">
        <v>9</v>
      </c>
      <c r="E50" s="52">
        <v>9</v>
      </c>
      <c r="F50" s="56">
        <v>6.5</v>
      </c>
      <c r="G50" s="9">
        <f t="shared" si="0"/>
        <v>34.5</v>
      </c>
      <c r="H50" s="10" t="str">
        <f t="shared" ref="H50:K56" si="4">IF(C50&gt;=8.6,"ممتاز",IF(C50&gt;=7.6,"جيد جداً",IF(C50&gt;=6.6,"جيد",IF(C50&gt;=5,"مقبول","يُعاد"))))</f>
        <v>ممتاز</v>
      </c>
      <c r="I50" s="10" t="str">
        <f t="shared" si="4"/>
        <v>ممتاز</v>
      </c>
      <c r="J50" s="10" t="str">
        <f t="shared" si="4"/>
        <v>ممتاز</v>
      </c>
      <c r="K50" s="10" t="str">
        <f t="shared" si="4"/>
        <v>مقبول</v>
      </c>
      <c r="L50" s="11" t="str">
        <f t="shared" si="2"/>
        <v>جيد جداً</v>
      </c>
    </row>
    <row r="51" spans="1:12" ht="32.25" thickBot="1" x14ac:dyDescent="0.25">
      <c r="A51" s="4">
        <v>47</v>
      </c>
      <c r="B51" s="48" t="s">
        <v>230</v>
      </c>
      <c r="C51" s="61">
        <v>6</v>
      </c>
      <c r="D51" s="61">
        <v>6</v>
      </c>
      <c r="E51" s="61">
        <v>5</v>
      </c>
      <c r="F51" s="62">
        <v>6</v>
      </c>
      <c r="G51" s="9">
        <f t="shared" si="0"/>
        <v>23</v>
      </c>
      <c r="H51" s="10" t="str">
        <f t="shared" si="4"/>
        <v>مقبول</v>
      </c>
      <c r="I51" s="10" t="str">
        <f t="shared" si="4"/>
        <v>مقبول</v>
      </c>
      <c r="J51" s="10" t="str">
        <f t="shared" si="4"/>
        <v>مقبول</v>
      </c>
      <c r="K51" s="10" t="str">
        <f t="shared" si="4"/>
        <v>مقبول</v>
      </c>
      <c r="L51" s="11" t="str">
        <f t="shared" si="2"/>
        <v>مقبول</v>
      </c>
    </row>
    <row r="52" spans="1:12" ht="31.5" x14ac:dyDescent="0.2">
      <c r="A52" s="4">
        <v>48</v>
      </c>
      <c r="B52" s="48" t="s">
        <v>231</v>
      </c>
      <c r="C52" s="52">
        <v>7</v>
      </c>
      <c r="D52" s="52">
        <v>7</v>
      </c>
      <c r="E52" s="52">
        <v>6</v>
      </c>
      <c r="F52" s="56">
        <v>6</v>
      </c>
      <c r="G52" s="9">
        <f t="shared" si="0"/>
        <v>26</v>
      </c>
      <c r="H52" s="10" t="str">
        <f t="shared" si="4"/>
        <v>جيد</v>
      </c>
      <c r="I52" s="10" t="str">
        <f t="shared" si="4"/>
        <v>جيد</v>
      </c>
      <c r="J52" s="10" t="str">
        <f t="shared" si="4"/>
        <v>مقبول</v>
      </c>
      <c r="K52" s="10" t="str">
        <f t="shared" si="4"/>
        <v>مقبول</v>
      </c>
      <c r="L52" s="11" t="str">
        <f t="shared" si="2"/>
        <v>جيد</v>
      </c>
    </row>
    <row r="53" spans="1:12" ht="31.5" x14ac:dyDescent="0.2">
      <c r="A53" s="4">
        <v>49</v>
      </c>
      <c r="B53" s="48" t="s">
        <v>232</v>
      </c>
      <c r="C53" s="52"/>
      <c r="D53" s="52"/>
      <c r="E53" s="52"/>
      <c r="F53" s="56"/>
      <c r="G53" s="9">
        <f t="shared" si="0"/>
        <v>0</v>
      </c>
      <c r="H53" s="10" t="str">
        <f t="shared" si="4"/>
        <v>يُعاد</v>
      </c>
      <c r="I53" s="10" t="str">
        <f t="shared" si="4"/>
        <v>يُعاد</v>
      </c>
      <c r="J53" s="10" t="str">
        <f t="shared" si="4"/>
        <v>يُعاد</v>
      </c>
      <c r="K53" s="10" t="str">
        <f t="shared" si="4"/>
        <v>يُعاد</v>
      </c>
      <c r="L53" s="11" t="str">
        <f t="shared" si="2"/>
        <v>-</v>
      </c>
    </row>
    <row r="54" spans="1:12" ht="31.5" x14ac:dyDescent="0.2">
      <c r="A54" s="4">
        <v>50</v>
      </c>
      <c r="B54" s="48" t="s">
        <v>233</v>
      </c>
      <c r="C54" s="52"/>
      <c r="D54" s="52"/>
      <c r="E54" s="52"/>
      <c r="F54" s="56"/>
      <c r="G54" s="9">
        <f t="shared" si="0"/>
        <v>0</v>
      </c>
      <c r="H54" s="10" t="str">
        <f t="shared" si="4"/>
        <v>يُعاد</v>
      </c>
      <c r="I54" s="10" t="str">
        <f t="shared" si="4"/>
        <v>يُعاد</v>
      </c>
      <c r="J54" s="10" t="str">
        <f t="shared" si="4"/>
        <v>يُعاد</v>
      </c>
      <c r="K54" s="10" t="str">
        <f t="shared" si="4"/>
        <v>يُعاد</v>
      </c>
      <c r="L54" s="11" t="str">
        <f t="shared" si="2"/>
        <v>-</v>
      </c>
    </row>
    <row r="55" spans="1:12" ht="31.5" x14ac:dyDescent="0.2">
      <c r="A55" s="4">
        <v>51</v>
      </c>
      <c r="B55" s="48" t="s">
        <v>234</v>
      </c>
      <c r="C55" s="52"/>
      <c r="D55" s="52"/>
      <c r="E55" s="52"/>
      <c r="F55" s="56"/>
      <c r="G55" s="9">
        <f t="shared" si="0"/>
        <v>0</v>
      </c>
      <c r="H55" s="10" t="str">
        <f t="shared" si="4"/>
        <v>يُعاد</v>
      </c>
      <c r="I55" s="10" t="str">
        <f t="shared" si="4"/>
        <v>يُعاد</v>
      </c>
      <c r="J55" s="10" t="str">
        <f t="shared" si="4"/>
        <v>يُعاد</v>
      </c>
      <c r="K55" s="10" t="str">
        <f t="shared" si="4"/>
        <v>يُعاد</v>
      </c>
      <c r="L55" s="11" t="str">
        <f t="shared" si="2"/>
        <v>-</v>
      </c>
    </row>
    <row r="56" spans="1:12" ht="32.25" thickBot="1" x14ac:dyDescent="0.25">
      <c r="A56" s="4">
        <v>52</v>
      </c>
      <c r="B56" s="60" t="s">
        <v>386</v>
      </c>
      <c r="C56" s="52">
        <v>9</v>
      </c>
      <c r="D56" s="52">
        <v>10</v>
      </c>
      <c r="E56" s="52">
        <v>5</v>
      </c>
      <c r="F56" s="56">
        <v>10</v>
      </c>
      <c r="G56" s="9">
        <f t="shared" si="0"/>
        <v>34</v>
      </c>
      <c r="H56" s="10" t="str">
        <f t="shared" si="4"/>
        <v>ممتاز</v>
      </c>
      <c r="I56" s="10" t="str">
        <f t="shared" si="4"/>
        <v>ممتاز</v>
      </c>
      <c r="J56" s="10" t="str">
        <f t="shared" si="4"/>
        <v>مقبول</v>
      </c>
      <c r="K56" s="10" t="str">
        <f t="shared" si="4"/>
        <v>ممتاز</v>
      </c>
      <c r="L56" s="11" t="str">
        <f t="shared" si="2"/>
        <v>جيد جداً</v>
      </c>
    </row>
    <row r="57" spans="1:12" ht="14.25" x14ac:dyDescent="0.2">
      <c r="B57"/>
      <c r="C57"/>
      <c r="D57"/>
      <c r="E57"/>
      <c r="F57"/>
    </row>
    <row r="58" spans="1:12" ht="14.25" x14ac:dyDescent="0.2">
      <c r="B58"/>
      <c r="C58"/>
      <c r="D58"/>
      <c r="E58"/>
      <c r="F58"/>
    </row>
    <row r="59" spans="1:12" ht="14.25" x14ac:dyDescent="0.2">
      <c r="B59"/>
      <c r="C59"/>
      <c r="D59"/>
      <c r="E59"/>
      <c r="F59"/>
    </row>
    <row r="60" spans="1:12" ht="14.25" x14ac:dyDescent="0.2">
      <c r="B60"/>
      <c r="C60"/>
      <c r="D60"/>
      <c r="E60"/>
      <c r="F60"/>
    </row>
    <row r="61" spans="1:12" ht="14.25" x14ac:dyDescent="0.2">
      <c r="B61"/>
      <c r="C61"/>
      <c r="D61"/>
      <c r="E61"/>
      <c r="F61"/>
    </row>
    <row r="62" spans="1:12" ht="14.25" x14ac:dyDescent="0.2">
      <c r="B62"/>
      <c r="C62"/>
      <c r="D62"/>
      <c r="E62"/>
      <c r="F62"/>
    </row>
    <row r="63" spans="1:12" ht="14.25" x14ac:dyDescent="0.2">
      <c r="B63"/>
      <c r="C63"/>
      <c r="D63"/>
      <c r="E63"/>
      <c r="F63"/>
    </row>
    <row r="64" spans="1:12" ht="14.25" x14ac:dyDescent="0.2">
      <c r="B64"/>
      <c r="C64"/>
      <c r="D64"/>
      <c r="E64"/>
      <c r="F64"/>
    </row>
    <row r="65" spans="2:6" ht="14.25" x14ac:dyDescent="0.2">
      <c r="B65"/>
      <c r="C65"/>
      <c r="D65"/>
      <c r="E65"/>
      <c r="F65"/>
    </row>
    <row r="66" spans="2:6" ht="14.25" x14ac:dyDescent="0.2">
      <c r="B66"/>
      <c r="C66"/>
      <c r="D66"/>
      <c r="E66"/>
      <c r="F66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rightToLeft="1" topLeftCell="A34" workbookViewId="0">
      <selection activeCell="E42" sqref="E42"/>
    </sheetView>
  </sheetViews>
  <sheetFormatPr defaultRowHeight="30" x14ac:dyDescent="0.4"/>
  <cols>
    <col min="2" max="2" width="39.625" style="49" customWidth="1"/>
    <col min="3" max="6" width="9" style="49"/>
    <col min="12" max="12" width="17.25" customWidth="1"/>
  </cols>
  <sheetData>
    <row r="1" spans="1:12" ht="23.25" x14ac:dyDescent="0.35">
      <c r="B1"/>
      <c r="C1"/>
      <c r="D1" s="32" t="s">
        <v>410</v>
      </c>
      <c r="E1" s="32"/>
      <c r="F1" s="32"/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32.25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394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235</v>
      </c>
      <c r="C5" s="51">
        <v>0</v>
      </c>
      <c r="D5" s="51">
        <v>0</v>
      </c>
      <c r="E5" s="53">
        <v>0</v>
      </c>
      <c r="F5" s="55">
        <v>0</v>
      </c>
      <c r="G5" s="9">
        <f t="shared" ref="G5:G39" si="0">SUM(C5:F5)</f>
        <v>0</v>
      </c>
      <c r="H5" s="10" t="str">
        <f>IF(C5&gt;=8.6,"ممتاز",IF(C5&gt;=7.5,"جيد جداً",IF(C5&gt;=6.5,"جيد",IF(C5&gt;=5,"مقبول","يُعاد"))))</f>
        <v>يُعاد</v>
      </c>
      <c r="I5" s="10" t="str">
        <f>IF(D5&gt;=8.6,"ممتاز",IF(D5&gt;=7.6,"جيد جداً",IF(D5&gt;=6.6,"جيد",IF(D5&gt;=5,"مقبول","يُعاد"))))</f>
        <v>يُعاد</v>
      </c>
      <c r="J5" s="10" t="str">
        <f>IF(E5&gt;=8.6,"ممتاز",IF(E5&gt;=7.6,"جيد جداً",IF(E5&gt;=6.6,"جيد",IF(E5&gt;=5,"مقبول","يُعاد"))))</f>
        <v>يُعاد</v>
      </c>
      <c r="K5" s="10" t="str">
        <f>IF(F5&gt;=8.6,"ممتاز",IF(F5&gt;=7.6,"جيد جداً",IF(F5&gt;=6.6,"جيد",IF(F5&gt;=5,"مقبول","يُعاد"))))</f>
        <v>يُعاد</v>
      </c>
      <c r="L5" s="11" t="str">
        <f>IF(G5&gt;=35,"ممتاز",IF(G5&gt;=31,"جيد جداً",IF(G5&gt;=26,"جيد",IF(G5&gt;=20,"مقبول","-"))))</f>
        <v>-</v>
      </c>
    </row>
    <row r="6" spans="1:12" ht="31.5" x14ac:dyDescent="0.2">
      <c r="A6" s="4">
        <v>2</v>
      </c>
      <c r="B6" s="48" t="s">
        <v>236</v>
      </c>
      <c r="C6" s="52">
        <v>7</v>
      </c>
      <c r="D6" s="52">
        <v>10</v>
      </c>
      <c r="E6" s="52">
        <v>9</v>
      </c>
      <c r="F6" s="56">
        <v>10</v>
      </c>
      <c r="G6" s="9">
        <f t="shared" si="0"/>
        <v>36</v>
      </c>
      <c r="H6" s="10" t="str">
        <f t="shared" ref="H6:K31" si="1">IF(C6&gt;=8.6,"ممتاز",IF(C6&gt;=7.6,"جيد جداً",IF(C6&gt;=6.6,"جيد",IF(C6&gt;=5,"مقبول","يُعاد"))))</f>
        <v>جيد</v>
      </c>
      <c r="I6" s="10" t="str">
        <f t="shared" si="1"/>
        <v>ممتاز</v>
      </c>
      <c r="J6" s="10" t="str">
        <f t="shared" si="1"/>
        <v>ممتاز</v>
      </c>
      <c r="K6" s="10" t="str">
        <f t="shared" si="1"/>
        <v>ممتاز</v>
      </c>
      <c r="L6" s="11" t="str">
        <f t="shared" ref="L6:L39" si="2">IF(G6&gt;=35,"ممتاز",IF(G6&gt;=31,"جيد جداً",IF(G6&gt;=26,"جيد",IF(G6&gt;=20,"مقبول","-"))))</f>
        <v>ممتاز</v>
      </c>
    </row>
    <row r="7" spans="1:12" ht="31.5" x14ac:dyDescent="0.2">
      <c r="A7" s="4">
        <v>3</v>
      </c>
      <c r="B7" s="48" t="s">
        <v>237</v>
      </c>
      <c r="C7" s="52">
        <v>7</v>
      </c>
      <c r="D7" s="52">
        <v>7</v>
      </c>
      <c r="E7" s="52">
        <v>9</v>
      </c>
      <c r="F7" s="56">
        <v>10</v>
      </c>
      <c r="G7" s="9">
        <f t="shared" si="0"/>
        <v>33</v>
      </c>
      <c r="H7" s="10" t="str">
        <f t="shared" si="1"/>
        <v>جيد</v>
      </c>
      <c r="I7" s="10" t="str">
        <f t="shared" si="1"/>
        <v>جيد</v>
      </c>
      <c r="J7" s="10" t="str">
        <f t="shared" si="1"/>
        <v>ممتاز</v>
      </c>
      <c r="K7" s="10" t="str">
        <f t="shared" si="1"/>
        <v>ممتاز</v>
      </c>
      <c r="L7" s="11" t="str">
        <f t="shared" si="2"/>
        <v>جيد جداً</v>
      </c>
    </row>
    <row r="8" spans="1:12" ht="31.5" x14ac:dyDescent="0.2">
      <c r="A8" s="4">
        <v>4</v>
      </c>
      <c r="B8" s="48" t="s">
        <v>238</v>
      </c>
      <c r="C8" s="52">
        <v>6.5</v>
      </c>
      <c r="D8" s="52">
        <v>6</v>
      </c>
      <c r="E8" s="52">
        <v>2</v>
      </c>
      <c r="F8" s="56">
        <v>10</v>
      </c>
      <c r="G8" s="9">
        <f t="shared" si="0"/>
        <v>24.5</v>
      </c>
      <c r="H8" s="10" t="str">
        <f t="shared" si="1"/>
        <v>مقبول</v>
      </c>
      <c r="I8" s="10" t="str">
        <f t="shared" si="1"/>
        <v>مقبول</v>
      </c>
      <c r="J8" s="10" t="str">
        <f t="shared" si="1"/>
        <v>يُعاد</v>
      </c>
      <c r="K8" s="10" t="str">
        <f t="shared" si="1"/>
        <v>ممتاز</v>
      </c>
      <c r="L8" s="11" t="str">
        <f t="shared" si="2"/>
        <v>مقبول</v>
      </c>
    </row>
    <row r="9" spans="1:12" ht="31.5" x14ac:dyDescent="0.2">
      <c r="A9" s="4">
        <v>5</v>
      </c>
      <c r="B9" s="48" t="s">
        <v>239</v>
      </c>
      <c r="C9" s="52"/>
      <c r="D9" s="52"/>
      <c r="E9" s="52"/>
      <c r="F9" s="56"/>
      <c r="G9" s="9">
        <f t="shared" si="0"/>
        <v>0</v>
      </c>
      <c r="H9" s="10" t="str">
        <f t="shared" si="1"/>
        <v>يُعاد</v>
      </c>
      <c r="I9" s="10" t="str">
        <f t="shared" si="1"/>
        <v>يُعاد</v>
      </c>
      <c r="J9" s="10" t="str">
        <f t="shared" si="1"/>
        <v>يُعاد</v>
      </c>
      <c r="K9" s="10" t="str">
        <f t="shared" si="1"/>
        <v>يُعاد</v>
      </c>
      <c r="L9" s="11" t="str">
        <f t="shared" si="2"/>
        <v>-</v>
      </c>
    </row>
    <row r="10" spans="1:12" ht="31.5" x14ac:dyDescent="0.2">
      <c r="A10" s="4">
        <v>6</v>
      </c>
      <c r="B10" s="48" t="s">
        <v>63</v>
      </c>
      <c r="C10" s="52">
        <v>9</v>
      </c>
      <c r="D10" s="52">
        <v>10</v>
      </c>
      <c r="E10" s="52">
        <v>4</v>
      </c>
      <c r="F10" s="56">
        <v>8.5</v>
      </c>
      <c r="G10" s="9">
        <f t="shared" si="0"/>
        <v>31.5</v>
      </c>
      <c r="H10" s="10" t="str">
        <f t="shared" si="1"/>
        <v>ممتاز</v>
      </c>
      <c r="I10" s="10" t="str">
        <f t="shared" si="1"/>
        <v>ممتاز</v>
      </c>
      <c r="J10" s="10" t="str">
        <f t="shared" si="1"/>
        <v>يُعاد</v>
      </c>
      <c r="K10" s="10" t="str">
        <f t="shared" si="1"/>
        <v>جيد جداً</v>
      </c>
      <c r="L10" s="11" t="str">
        <f t="shared" si="2"/>
        <v>جيد جداً</v>
      </c>
    </row>
    <row r="11" spans="1:12" ht="31.5" x14ac:dyDescent="0.2">
      <c r="A11" s="4">
        <v>7</v>
      </c>
      <c r="B11" s="48" t="s">
        <v>240</v>
      </c>
      <c r="C11" s="52">
        <v>6.5</v>
      </c>
      <c r="D11" s="52">
        <v>1.5</v>
      </c>
      <c r="E11" s="52">
        <v>3</v>
      </c>
      <c r="F11" s="56">
        <v>7.5</v>
      </c>
      <c r="G11" s="9">
        <f t="shared" si="0"/>
        <v>18.5</v>
      </c>
      <c r="H11" s="10" t="str">
        <f t="shared" si="1"/>
        <v>مقبول</v>
      </c>
      <c r="I11" s="10" t="str">
        <f t="shared" si="1"/>
        <v>يُعاد</v>
      </c>
      <c r="J11" s="10" t="str">
        <f t="shared" si="1"/>
        <v>يُعاد</v>
      </c>
      <c r="K11" s="10" t="str">
        <f t="shared" si="1"/>
        <v>جيد</v>
      </c>
      <c r="L11" s="11" t="str">
        <f t="shared" si="2"/>
        <v>-</v>
      </c>
    </row>
    <row r="12" spans="1:12" ht="31.5" x14ac:dyDescent="0.2">
      <c r="A12" s="4">
        <v>8</v>
      </c>
      <c r="B12" s="48" t="s">
        <v>241</v>
      </c>
      <c r="C12" s="52"/>
      <c r="D12" s="52"/>
      <c r="E12" s="52"/>
      <c r="F12" s="56"/>
      <c r="G12" s="9">
        <f t="shared" si="0"/>
        <v>0</v>
      </c>
      <c r="H12" s="10" t="str">
        <f t="shared" si="1"/>
        <v>يُعاد</v>
      </c>
      <c r="I12" s="10" t="str">
        <f t="shared" si="1"/>
        <v>يُعاد</v>
      </c>
      <c r="J12" s="10" t="str">
        <f t="shared" si="1"/>
        <v>يُعاد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242</v>
      </c>
      <c r="C13" s="52"/>
      <c r="D13" s="52"/>
      <c r="E13" s="52"/>
      <c r="F13" s="56"/>
      <c r="G13" s="9">
        <f t="shared" si="0"/>
        <v>0</v>
      </c>
      <c r="H13" s="10" t="str">
        <f t="shared" si="1"/>
        <v>يُعاد</v>
      </c>
      <c r="I13" s="10" t="str">
        <f t="shared" si="1"/>
        <v>يُعاد</v>
      </c>
      <c r="J13" s="10" t="str">
        <f t="shared" si="1"/>
        <v>يُعاد</v>
      </c>
      <c r="K13" s="10" t="str">
        <f t="shared" si="1"/>
        <v>يُعاد</v>
      </c>
      <c r="L13" s="11" t="str">
        <f t="shared" si="2"/>
        <v>-</v>
      </c>
    </row>
    <row r="14" spans="1:12" ht="31.5" x14ac:dyDescent="0.2">
      <c r="A14" s="4">
        <v>10</v>
      </c>
      <c r="B14" s="48" t="s">
        <v>243</v>
      </c>
      <c r="C14" s="52">
        <v>7</v>
      </c>
      <c r="D14" s="52">
        <v>3</v>
      </c>
      <c r="E14" s="52">
        <v>3</v>
      </c>
      <c r="F14" s="56">
        <v>7.5</v>
      </c>
      <c r="G14" s="9">
        <f t="shared" si="0"/>
        <v>20.5</v>
      </c>
      <c r="H14" s="10" t="str">
        <f t="shared" si="1"/>
        <v>جيد</v>
      </c>
      <c r="I14" s="10" t="str">
        <f t="shared" si="1"/>
        <v>يُعاد</v>
      </c>
      <c r="J14" s="10" t="str">
        <f t="shared" si="1"/>
        <v>يُعاد</v>
      </c>
      <c r="K14" s="10" t="str">
        <f t="shared" si="1"/>
        <v>جيد</v>
      </c>
      <c r="L14" s="11" t="str">
        <f t="shared" si="2"/>
        <v>مقبول</v>
      </c>
    </row>
    <row r="15" spans="1:12" ht="31.5" x14ac:dyDescent="0.2">
      <c r="A15" s="4">
        <v>11</v>
      </c>
      <c r="B15" s="48" t="s">
        <v>56</v>
      </c>
      <c r="C15" s="52"/>
      <c r="D15" s="52"/>
      <c r="E15" s="52"/>
      <c r="F15" s="56"/>
      <c r="G15" s="9">
        <f t="shared" si="0"/>
        <v>0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يُعاد</v>
      </c>
      <c r="L15" s="11" t="str">
        <f t="shared" si="2"/>
        <v>-</v>
      </c>
    </row>
    <row r="16" spans="1:12" ht="31.5" x14ac:dyDescent="0.2">
      <c r="A16" s="4">
        <v>12</v>
      </c>
      <c r="B16" s="48" t="s">
        <v>244</v>
      </c>
      <c r="C16" s="52"/>
      <c r="D16" s="52"/>
      <c r="E16" s="52"/>
      <c r="F16" s="56"/>
      <c r="G16" s="9">
        <f t="shared" si="0"/>
        <v>0</v>
      </c>
      <c r="H16" s="10" t="str">
        <f t="shared" si="1"/>
        <v>يُعاد</v>
      </c>
      <c r="I16" s="10" t="str">
        <f t="shared" si="1"/>
        <v>يُعاد</v>
      </c>
      <c r="J16" s="10" t="str">
        <f t="shared" si="1"/>
        <v>يُعاد</v>
      </c>
      <c r="K16" s="10" t="str">
        <f t="shared" si="1"/>
        <v>يُعاد</v>
      </c>
      <c r="L16" s="11" t="str">
        <f t="shared" si="2"/>
        <v>-</v>
      </c>
    </row>
    <row r="17" spans="1:12" ht="31.5" x14ac:dyDescent="0.2">
      <c r="A17" s="4">
        <v>13</v>
      </c>
      <c r="B17" s="48" t="s">
        <v>58</v>
      </c>
      <c r="C17" s="52">
        <v>9</v>
      </c>
      <c r="D17" s="52">
        <v>5</v>
      </c>
      <c r="E17" s="52">
        <v>7</v>
      </c>
      <c r="F17" s="56">
        <v>10</v>
      </c>
      <c r="G17" s="9">
        <f t="shared" si="0"/>
        <v>31</v>
      </c>
      <c r="H17" s="10" t="str">
        <f t="shared" si="1"/>
        <v>ممتاز</v>
      </c>
      <c r="I17" s="10" t="str">
        <f t="shared" si="1"/>
        <v>مقبول</v>
      </c>
      <c r="J17" s="10" t="str">
        <f t="shared" si="1"/>
        <v>جيد</v>
      </c>
      <c r="K17" s="10" t="str">
        <f t="shared" si="1"/>
        <v>ممتاز</v>
      </c>
      <c r="L17" s="11" t="str">
        <f t="shared" si="2"/>
        <v>جيد جداً</v>
      </c>
    </row>
    <row r="18" spans="1:12" ht="31.5" x14ac:dyDescent="0.2">
      <c r="A18" s="4">
        <v>14</v>
      </c>
      <c r="B18" s="48" t="s">
        <v>57</v>
      </c>
      <c r="C18" s="52">
        <v>7</v>
      </c>
      <c r="D18" s="52">
        <v>10</v>
      </c>
      <c r="E18" s="52">
        <v>7</v>
      </c>
      <c r="F18" s="56">
        <v>10</v>
      </c>
      <c r="G18" s="9">
        <f t="shared" si="0"/>
        <v>34</v>
      </c>
      <c r="H18" s="10" t="str">
        <f t="shared" si="1"/>
        <v>جيد</v>
      </c>
      <c r="I18" s="10" t="str">
        <f t="shared" si="1"/>
        <v>ممتاز</v>
      </c>
      <c r="J18" s="10" t="str">
        <f t="shared" si="1"/>
        <v>جيد</v>
      </c>
      <c r="K18" s="10" t="str">
        <f t="shared" si="1"/>
        <v>ممتاز</v>
      </c>
      <c r="L18" s="11" t="str">
        <f t="shared" si="2"/>
        <v>جيد جداً</v>
      </c>
    </row>
    <row r="19" spans="1:12" ht="31.5" x14ac:dyDescent="0.2">
      <c r="A19" s="4">
        <v>15</v>
      </c>
      <c r="B19" s="48" t="s">
        <v>61</v>
      </c>
      <c r="C19" s="52">
        <v>8</v>
      </c>
      <c r="D19" s="52">
        <v>9</v>
      </c>
      <c r="E19" s="52">
        <v>9</v>
      </c>
      <c r="F19" s="56">
        <v>10</v>
      </c>
      <c r="G19" s="9">
        <f t="shared" si="0"/>
        <v>36</v>
      </c>
      <c r="H19" s="10" t="str">
        <f t="shared" si="1"/>
        <v>جيد جداً</v>
      </c>
      <c r="I19" s="10" t="str">
        <f t="shared" si="1"/>
        <v>ممتاز</v>
      </c>
      <c r="J19" s="10" t="str">
        <f t="shared" si="1"/>
        <v>ممتاز</v>
      </c>
      <c r="K19" s="10" t="str">
        <f t="shared" si="1"/>
        <v>ممتاز</v>
      </c>
      <c r="L19" s="11" t="str">
        <f t="shared" si="2"/>
        <v>ممتاز</v>
      </c>
    </row>
    <row r="20" spans="1:12" ht="31.5" x14ac:dyDescent="0.2">
      <c r="A20" s="4">
        <v>16</v>
      </c>
      <c r="B20" s="48" t="s">
        <v>65</v>
      </c>
      <c r="C20" s="52">
        <v>4</v>
      </c>
      <c r="D20" s="52">
        <v>3</v>
      </c>
      <c r="E20" s="52">
        <v>3</v>
      </c>
      <c r="F20" s="56">
        <v>5</v>
      </c>
      <c r="G20" s="9">
        <f t="shared" si="0"/>
        <v>15</v>
      </c>
      <c r="H20" s="10" t="str">
        <f t="shared" si="1"/>
        <v>يُعاد</v>
      </c>
      <c r="I20" s="10" t="str">
        <f t="shared" si="1"/>
        <v>يُعاد</v>
      </c>
      <c r="J20" s="10" t="str">
        <f t="shared" si="1"/>
        <v>يُعاد</v>
      </c>
      <c r="K20" s="10" t="str">
        <f t="shared" si="1"/>
        <v>مقبول</v>
      </c>
      <c r="L20" s="11" t="str">
        <f t="shared" si="2"/>
        <v>-</v>
      </c>
    </row>
    <row r="21" spans="1:12" ht="31.5" x14ac:dyDescent="0.2">
      <c r="A21" s="4">
        <v>17</v>
      </c>
      <c r="B21" s="48" t="s">
        <v>245</v>
      </c>
      <c r="C21" s="52"/>
      <c r="D21" s="52"/>
      <c r="E21" s="52"/>
      <c r="F21" s="56"/>
      <c r="G21" s="9">
        <f t="shared" si="0"/>
        <v>0</v>
      </c>
      <c r="H21" s="10" t="str">
        <f t="shared" si="1"/>
        <v>يُعاد</v>
      </c>
      <c r="I21" s="10" t="str">
        <f t="shared" si="1"/>
        <v>يُعاد</v>
      </c>
      <c r="J21" s="10" t="str">
        <f t="shared" si="1"/>
        <v>يُعاد</v>
      </c>
      <c r="K21" s="10" t="str">
        <f t="shared" si="1"/>
        <v>يُعاد</v>
      </c>
      <c r="L21" s="11" t="str">
        <f t="shared" si="2"/>
        <v>-</v>
      </c>
    </row>
    <row r="22" spans="1:12" ht="31.5" x14ac:dyDescent="0.2">
      <c r="A22" s="4">
        <v>18</v>
      </c>
      <c r="B22" s="48" t="s">
        <v>246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55</v>
      </c>
      <c r="C23" s="52">
        <v>9.5</v>
      </c>
      <c r="D23" s="52">
        <v>4</v>
      </c>
      <c r="E23" s="52">
        <v>4</v>
      </c>
      <c r="F23" s="56">
        <v>7.5</v>
      </c>
      <c r="G23" s="9">
        <f t="shared" si="0"/>
        <v>25</v>
      </c>
      <c r="H23" s="10" t="str">
        <f t="shared" si="1"/>
        <v>ممتاز</v>
      </c>
      <c r="I23" s="10" t="str">
        <f t="shared" si="1"/>
        <v>يُعاد</v>
      </c>
      <c r="J23" s="10" t="str">
        <f t="shared" si="1"/>
        <v>يُعاد</v>
      </c>
      <c r="K23" s="10" t="str">
        <f t="shared" si="1"/>
        <v>جيد</v>
      </c>
      <c r="L23" s="11" t="str">
        <f t="shared" si="2"/>
        <v>مقبول</v>
      </c>
    </row>
    <row r="24" spans="1:12" ht="31.5" x14ac:dyDescent="0.2">
      <c r="A24" s="4">
        <v>20</v>
      </c>
      <c r="B24" s="48" t="s">
        <v>62</v>
      </c>
      <c r="C24" s="52"/>
      <c r="D24" s="52"/>
      <c r="E24" s="52"/>
      <c r="F24" s="56"/>
      <c r="G24" s="9">
        <f t="shared" si="0"/>
        <v>0</v>
      </c>
      <c r="H24" s="10" t="str">
        <f t="shared" si="1"/>
        <v>يُعاد</v>
      </c>
      <c r="I24" s="10" t="str">
        <f t="shared" si="1"/>
        <v>يُعاد</v>
      </c>
      <c r="J24" s="10" t="str">
        <f t="shared" si="1"/>
        <v>يُعاد</v>
      </c>
      <c r="K24" s="10" t="str">
        <f t="shared" si="1"/>
        <v>يُعاد</v>
      </c>
      <c r="L24" s="11" t="str">
        <f t="shared" si="2"/>
        <v>-</v>
      </c>
    </row>
    <row r="25" spans="1:12" ht="31.5" x14ac:dyDescent="0.2">
      <c r="A25" s="4">
        <v>21</v>
      </c>
      <c r="B25" s="48" t="s">
        <v>247</v>
      </c>
      <c r="C25" s="52">
        <v>8</v>
      </c>
      <c r="D25" s="52">
        <v>10</v>
      </c>
      <c r="E25" s="52">
        <v>9</v>
      </c>
      <c r="F25" s="56">
        <v>10</v>
      </c>
      <c r="G25" s="9">
        <f t="shared" si="0"/>
        <v>37</v>
      </c>
      <c r="H25" s="10" t="str">
        <f t="shared" si="1"/>
        <v>جيد جداً</v>
      </c>
      <c r="I25" s="10" t="str">
        <f t="shared" si="1"/>
        <v>ممتاز</v>
      </c>
      <c r="J25" s="10" t="str">
        <f t="shared" si="1"/>
        <v>ممتاز</v>
      </c>
      <c r="K25" s="10" t="str">
        <f t="shared" si="1"/>
        <v>ممتاز</v>
      </c>
      <c r="L25" s="11" t="str">
        <f t="shared" si="2"/>
        <v>ممتاز</v>
      </c>
    </row>
    <row r="26" spans="1:12" ht="31.5" x14ac:dyDescent="0.2">
      <c r="A26" s="4">
        <v>22</v>
      </c>
      <c r="B26" s="48" t="s">
        <v>248</v>
      </c>
      <c r="C26" s="52">
        <v>8</v>
      </c>
      <c r="D26" s="52">
        <v>7</v>
      </c>
      <c r="E26" s="52">
        <v>7</v>
      </c>
      <c r="F26" s="56">
        <v>10</v>
      </c>
      <c r="G26" s="9">
        <f t="shared" si="0"/>
        <v>32</v>
      </c>
      <c r="H26" s="10" t="str">
        <f t="shared" si="1"/>
        <v>جيد جداً</v>
      </c>
      <c r="I26" s="10" t="str">
        <f t="shared" si="1"/>
        <v>جيد</v>
      </c>
      <c r="J26" s="10" t="str">
        <f t="shared" si="1"/>
        <v>جيد</v>
      </c>
      <c r="K26" s="10" t="str">
        <f t="shared" si="1"/>
        <v>ممتاز</v>
      </c>
      <c r="L26" s="11" t="str">
        <f t="shared" si="2"/>
        <v>جيد جداً</v>
      </c>
    </row>
    <row r="27" spans="1:12" ht="31.5" x14ac:dyDescent="0.2">
      <c r="A27" s="4">
        <v>23</v>
      </c>
      <c r="B27" s="48" t="s">
        <v>249</v>
      </c>
      <c r="C27" s="52"/>
      <c r="D27" s="52"/>
      <c r="E27" s="52"/>
      <c r="F27" s="56"/>
      <c r="G27" s="9">
        <f t="shared" si="0"/>
        <v>0</v>
      </c>
      <c r="H27" s="10" t="str">
        <f t="shared" si="1"/>
        <v>يُعاد</v>
      </c>
      <c r="I27" s="10" t="str">
        <f t="shared" si="1"/>
        <v>يُعاد</v>
      </c>
      <c r="J27" s="10" t="str">
        <f t="shared" si="1"/>
        <v>يُعاد</v>
      </c>
      <c r="K27" s="10" t="str">
        <f t="shared" si="1"/>
        <v>يُعاد</v>
      </c>
      <c r="L27" s="11" t="str">
        <f t="shared" si="2"/>
        <v>-</v>
      </c>
    </row>
    <row r="28" spans="1:12" ht="31.5" x14ac:dyDescent="0.2">
      <c r="A28" s="4">
        <v>24</v>
      </c>
      <c r="B28" s="48" t="s">
        <v>250</v>
      </c>
      <c r="C28" s="52"/>
      <c r="D28" s="52"/>
      <c r="E28" s="52"/>
      <c r="F28" s="56"/>
      <c r="G28" s="9">
        <f t="shared" si="0"/>
        <v>0</v>
      </c>
      <c r="H28" s="10" t="str">
        <f t="shared" si="1"/>
        <v>يُعاد</v>
      </c>
      <c r="I28" s="10" t="str">
        <f t="shared" si="1"/>
        <v>يُعاد</v>
      </c>
      <c r="J28" s="10" t="str">
        <f t="shared" si="1"/>
        <v>يُعاد</v>
      </c>
      <c r="K28" s="10" t="str">
        <f t="shared" si="1"/>
        <v>يُعاد</v>
      </c>
      <c r="L28" s="11" t="str">
        <f t="shared" si="2"/>
        <v>-</v>
      </c>
    </row>
    <row r="29" spans="1:12" ht="31.5" x14ac:dyDescent="0.2">
      <c r="A29" s="4">
        <v>25</v>
      </c>
      <c r="B29" s="48" t="s">
        <v>251</v>
      </c>
      <c r="C29" s="52">
        <v>6</v>
      </c>
      <c r="D29" s="52">
        <v>10</v>
      </c>
      <c r="E29" s="52">
        <v>10</v>
      </c>
      <c r="F29" s="56">
        <v>10</v>
      </c>
      <c r="G29" s="9">
        <f t="shared" si="0"/>
        <v>36</v>
      </c>
      <c r="H29" s="10" t="str">
        <f t="shared" si="1"/>
        <v>مقبول</v>
      </c>
      <c r="I29" s="10" t="str">
        <f t="shared" si="1"/>
        <v>ممتاز</v>
      </c>
      <c r="J29" s="10" t="str">
        <f t="shared" si="1"/>
        <v>ممتاز</v>
      </c>
      <c r="K29" s="10" t="str">
        <f t="shared" si="1"/>
        <v>ممتاز</v>
      </c>
      <c r="L29" s="11" t="str">
        <f t="shared" si="2"/>
        <v>ممتاز</v>
      </c>
    </row>
    <row r="30" spans="1:12" ht="31.5" x14ac:dyDescent="0.2">
      <c r="A30" s="4">
        <v>26</v>
      </c>
      <c r="B30" s="48" t="s">
        <v>54</v>
      </c>
      <c r="C30" s="52"/>
      <c r="D30" s="52"/>
      <c r="E30" s="52"/>
      <c r="F30" s="56"/>
      <c r="G30" s="9">
        <f t="shared" si="0"/>
        <v>0</v>
      </c>
      <c r="H30" s="10" t="str">
        <f t="shared" si="1"/>
        <v>يُعاد</v>
      </c>
      <c r="I30" s="10" t="str">
        <f t="shared" si="1"/>
        <v>يُعاد</v>
      </c>
      <c r="J30" s="10" t="str">
        <f t="shared" si="1"/>
        <v>يُعاد</v>
      </c>
      <c r="K30" s="10" t="str">
        <f t="shared" si="1"/>
        <v>يُعاد</v>
      </c>
      <c r="L30" s="11" t="str">
        <f t="shared" si="2"/>
        <v>-</v>
      </c>
    </row>
    <row r="31" spans="1:12" ht="31.5" x14ac:dyDescent="0.2">
      <c r="A31" s="4">
        <v>27</v>
      </c>
      <c r="B31" s="48" t="s">
        <v>252</v>
      </c>
      <c r="C31" s="52"/>
      <c r="D31" s="52"/>
      <c r="E31" s="52"/>
      <c r="F31" s="56"/>
      <c r="G31" s="9">
        <f t="shared" si="0"/>
        <v>0</v>
      </c>
      <c r="H31" s="10" t="str">
        <f t="shared" si="1"/>
        <v>يُعاد</v>
      </c>
      <c r="I31" s="10" t="str">
        <f t="shared" si="1"/>
        <v>يُعاد</v>
      </c>
      <c r="J31" s="10" t="str">
        <f t="shared" si="1"/>
        <v>يُعاد</v>
      </c>
      <c r="K31" s="10" t="str">
        <f t="shared" si="1"/>
        <v>يُعاد</v>
      </c>
      <c r="L31" s="11" t="str">
        <f t="shared" si="2"/>
        <v>-</v>
      </c>
    </row>
    <row r="32" spans="1:12" ht="31.5" x14ac:dyDescent="0.2">
      <c r="A32" s="4">
        <v>28</v>
      </c>
      <c r="B32" s="48" t="s">
        <v>253</v>
      </c>
      <c r="C32" s="52"/>
      <c r="D32" s="52"/>
      <c r="E32" s="52"/>
      <c r="F32" s="56"/>
      <c r="G32" s="9">
        <f t="shared" si="0"/>
        <v>0</v>
      </c>
      <c r="H32" s="10" t="str">
        <f t="shared" ref="H32:K39" si="3">IF(C32&gt;=8.6,"ممتاز",IF(C32&gt;=7.6,"جيد جداً",IF(C32&gt;=6.6,"جيد",IF(C32&gt;=5,"مقبول","يُعاد"))))</f>
        <v>يُعاد</v>
      </c>
      <c r="I32" s="10" t="str">
        <f t="shared" si="3"/>
        <v>يُعاد</v>
      </c>
      <c r="J32" s="10" t="str">
        <f t="shared" si="3"/>
        <v>يُعاد</v>
      </c>
      <c r="K32" s="10" t="str">
        <f t="shared" si="3"/>
        <v>يُعاد</v>
      </c>
      <c r="L32" s="11" t="str">
        <f t="shared" si="2"/>
        <v>-</v>
      </c>
    </row>
    <row r="33" spans="1:12" ht="31.5" x14ac:dyDescent="0.2">
      <c r="A33" s="4">
        <v>29</v>
      </c>
      <c r="B33" s="48" t="s">
        <v>254</v>
      </c>
      <c r="C33" s="52"/>
      <c r="D33" s="52"/>
      <c r="E33" s="52"/>
      <c r="F33" s="56"/>
      <c r="G33" s="9">
        <f t="shared" si="0"/>
        <v>0</v>
      </c>
      <c r="H33" s="10" t="str">
        <f t="shared" si="3"/>
        <v>يُعاد</v>
      </c>
      <c r="I33" s="10" t="str">
        <f t="shared" si="3"/>
        <v>يُعاد</v>
      </c>
      <c r="J33" s="10" t="str">
        <f t="shared" si="3"/>
        <v>يُعاد</v>
      </c>
      <c r="K33" s="10" t="str">
        <f t="shared" si="3"/>
        <v>يُعاد</v>
      </c>
      <c r="L33" s="11" t="str">
        <f t="shared" si="2"/>
        <v>-</v>
      </c>
    </row>
    <row r="34" spans="1:12" ht="31.5" x14ac:dyDescent="0.2">
      <c r="A34" s="4">
        <v>30</v>
      </c>
      <c r="B34" s="48" t="s">
        <v>255</v>
      </c>
      <c r="C34" s="52">
        <v>9</v>
      </c>
      <c r="D34" s="52">
        <v>5</v>
      </c>
      <c r="E34" s="52">
        <v>8</v>
      </c>
      <c r="F34" s="56">
        <v>7.5</v>
      </c>
      <c r="G34" s="9">
        <f t="shared" si="0"/>
        <v>29.5</v>
      </c>
      <c r="H34" s="10" t="str">
        <f t="shared" si="3"/>
        <v>ممتاز</v>
      </c>
      <c r="I34" s="10" t="str">
        <f t="shared" si="3"/>
        <v>مقبول</v>
      </c>
      <c r="J34" s="10" t="str">
        <f t="shared" si="3"/>
        <v>جيد جداً</v>
      </c>
      <c r="K34" s="10" t="str">
        <f t="shared" si="3"/>
        <v>جيد</v>
      </c>
      <c r="L34" s="11" t="str">
        <f t="shared" si="2"/>
        <v>جيد</v>
      </c>
    </row>
    <row r="35" spans="1:12" ht="31.5" x14ac:dyDescent="0.2">
      <c r="A35" s="4">
        <v>31</v>
      </c>
      <c r="B35" s="48" t="s">
        <v>64</v>
      </c>
      <c r="C35" s="52"/>
      <c r="D35" s="52"/>
      <c r="E35" s="52"/>
      <c r="F35" s="56"/>
      <c r="G35" s="9">
        <f t="shared" si="0"/>
        <v>0</v>
      </c>
      <c r="H35" s="10" t="str">
        <f t="shared" si="3"/>
        <v>يُعاد</v>
      </c>
      <c r="I35" s="10" t="str">
        <f t="shared" si="3"/>
        <v>يُعاد</v>
      </c>
      <c r="J35" s="10" t="str">
        <f t="shared" si="3"/>
        <v>يُعاد</v>
      </c>
      <c r="K35" s="10" t="str">
        <f t="shared" si="3"/>
        <v>يُعاد</v>
      </c>
      <c r="L35" s="11" t="str">
        <f t="shared" si="2"/>
        <v>-</v>
      </c>
    </row>
    <row r="36" spans="1:12" ht="31.5" x14ac:dyDescent="0.2">
      <c r="A36" s="4">
        <v>32</v>
      </c>
      <c r="B36" s="48" t="s">
        <v>60</v>
      </c>
      <c r="C36" s="52">
        <v>9</v>
      </c>
      <c r="D36" s="52">
        <v>9</v>
      </c>
      <c r="E36" s="52">
        <v>9</v>
      </c>
      <c r="F36" s="56">
        <v>10</v>
      </c>
      <c r="G36" s="9">
        <f t="shared" si="0"/>
        <v>37</v>
      </c>
      <c r="H36" s="10" t="str">
        <f t="shared" si="3"/>
        <v>ممتاز</v>
      </c>
      <c r="I36" s="10" t="str">
        <f t="shared" si="3"/>
        <v>ممتاز</v>
      </c>
      <c r="J36" s="10" t="str">
        <f t="shared" si="3"/>
        <v>ممتاز</v>
      </c>
      <c r="K36" s="10" t="str">
        <f t="shared" si="3"/>
        <v>ممتاز</v>
      </c>
      <c r="L36" s="11" t="str">
        <f t="shared" si="2"/>
        <v>ممتاز</v>
      </c>
    </row>
    <row r="37" spans="1:12" ht="31.5" x14ac:dyDescent="0.2">
      <c r="A37" s="4">
        <v>33</v>
      </c>
      <c r="B37" s="48" t="s">
        <v>256</v>
      </c>
      <c r="C37" s="52"/>
      <c r="D37" s="52"/>
      <c r="E37" s="52"/>
      <c r="F37" s="56"/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31.5" x14ac:dyDescent="0.2">
      <c r="A38" s="4">
        <v>34</v>
      </c>
      <c r="B38" s="48" t="s">
        <v>59</v>
      </c>
      <c r="C38" s="52">
        <v>10</v>
      </c>
      <c r="D38" s="52">
        <v>10</v>
      </c>
      <c r="E38" s="52">
        <v>9</v>
      </c>
      <c r="F38" s="56">
        <v>10</v>
      </c>
      <c r="G38" s="9">
        <f t="shared" si="0"/>
        <v>39</v>
      </c>
      <c r="H38" s="10" t="str">
        <f t="shared" si="3"/>
        <v>ممتاز</v>
      </c>
      <c r="I38" s="10" t="str">
        <f t="shared" si="3"/>
        <v>ممتاز</v>
      </c>
      <c r="J38" s="10" t="str">
        <f t="shared" si="3"/>
        <v>ممتاز</v>
      </c>
      <c r="K38" s="10" t="str">
        <f t="shared" si="3"/>
        <v>ممتاز</v>
      </c>
      <c r="L38" s="11" t="str">
        <f t="shared" si="2"/>
        <v>ممتاز</v>
      </c>
    </row>
    <row r="39" spans="1:12" ht="32.25" thickBot="1" x14ac:dyDescent="0.25">
      <c r="A39" s="4">
        <v>35</v>
      </c>
      <c r="B39" s="60" t="s">
        <v>293</v>
      </c>
      <c r="C39" s="61">
        <v>10</v>
      </c>
      <c r="D39" s="61">
        <v>9</v>
      </c>
      <c r="E39" s="61">
        <v>9</v>
      </c>
      <c r="F39" s="62">
        <v>10</v>
      </c>
      <c r="G39" s="9">
        <f t="shared" si="0"/>
        <v>38</v>
      </c>
      <c r="H39" s="10" t="str">
        <f t="shared" si="3"/>
        <v>ممتاز</v>
      </c>
      <c r="I39" s="10" t="str">
        <f t="shared" si="3"/>
        <v>ممتاز</v>
      </c>
      <c r="J39" s="10" t="str">
        <f t="shared" si="3"/>
        <v>ممتاز</v>
      </c>
      <c r="K39" s="10" t="str">
        <f t="shared" si="3"/>
        <v>ممتاز</v>
      </c>
      <c r="L39" s="11" t="str">
        <f t="shared" si="2"/>
        <v>ممتاز</v>
      </c>
    </row>
    <row r="40" spans="1:12" x14ac:dyDescent="0.4">
      <c r="A40" s="49"/>
    </row>
    <row r="41" spans="1:12" x14ac:dyDescent="0.4">
      <c r="A41" s="49"/>
    </row>
    <row r="42" spans="1:12" x14ac:dyDescent="0.4">
      <c r="A42" s="49"/>
    </row>
    <row r="43" spans="1:12" x14ac:dyDescent="0.4">
      <c r="A43" s="49"/>
    </row>
    <row r="44" spans="1:12" x14ac:dyDescent="0.4">
      <c r="A44" s="49"/>
    </row>
    <row r="45" spans="1:12" x14ac:dyDescent="0.4">
      <c r="A45" s="49"/>
    </row>
    <row r="46" spans="1:12" x14ac:dyDescent="0.4">
      <c r="A46" s="49"/>
    </row>
    <row r="47" spans="1:12" x14ac:dyDescent="0.4">
      <c r="A47" s="49"/>
    </row>
    <row r="48" spans="1:12" x14ac:dyDescent="0.4">
      <c r="A48" s="49"/>
    </row>
    <row r="49" spans="1:1" x14ac:dyDescent="0.4">
      <c r="A49" s="49"/>
    </row>
    <row r="50" spans="1:1" x14ac:dyDescent="0.4">
      <c r="A50" s="49"/>
    </row>
    <row r="51" spans="1:1" x14ac:dyDescent="0.4">
      <c r="A51" s="49"/>
    </row>
    <row r="52" spans="1:1" x14ac:dyDescent="0.4">
      <c r="A52" s="49"/>
    </row>
    <row r="53" spans="1:1" x14ac:dyDescent="0.4">
      <c r="A53" s="49"/>
    </row>
    <row r="54" spans="1:1" x14ac:dyDescent="0.4">
      <c r="A54" s="49"/>
    </row>
    <row r="55" spans="1:1" x14ac:dyDescent="0.4">
      <c r="A55" s="49"/>
    </row>
    <row r="56" spans="1:1" x14ac:dyDescent="0.4">
      <c r="A56" s="49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rightToLeft="1" workbookViewId="0">
      <selection activeCell="N3" sqref="A1:XFD1048576"/>
    </sheetView>
  </sheetViews>
  <sheetFormatPr defaultRowHeight="30" x14ac:dyDescent="0.4"/>
  <cols>
    <col min="2" max="2" width="39.625" style="49" customWidth="1"/>
    <col min="3" max="6" width="9" style="49"/>
    <col min="12" max="12" width="17.25" customWidth="1"/>
  </cols>
  <sheetData>
    <row r="1" spans="1:12" ht="23.25" x14ac:dyDescent="0.35">
      <c r="B1"/>
      <c r="C1"/>
      <c r="D1" s="32" t="s">
        <v>408</v>
      </c>
      <c r="E1" s="32"/>
      <c r="F1" s="32"/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32.25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394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235</v>
      </c>
      <c r="C5" s="51">
        <v>0</v>
      </c>
      <c r="D5" s="51">
        <v>0</v>
      </c>
      <c r="E5" s="53">
        <v>0</v>
      </c>
      <c r="F5" s="55">
        <v>0</v>
      </c>
      <c r="G5" s="9">
        <f t="shared" ref="G5:G39" si="0">SUM(C5:F5)</f>
        <v>0</v>
      </c>
      <c r="H5" s="10" t="str">
        <f>IF(C5&gt;=8.6,"ممتاز",IF(C5&gt;=7.5,"جيد جداً",IF(C5&gt;=6.5,"جيد",IF(C5&gt;=5,"مقبول","يُعاد"))))</f>
        <v>يُعاد</v>
      </c>
      <c r="I5" s="10" t="str">
        <f>IF(D5&gt;=8.6,"ممتاز",IF(D5&gt;=7.6,"جيد جداً",IF(D5&gt;=6.6,"جيد",IF(D5&gt;=5,"مقبول","يُعاد"))))</f>
        <v>يُعاد</v>
      </c>
      <c r="J5" s="10" t="str">
        <f>IF(E5&gt;=8.6,"ممتاز",IF(E5&gt;=7.6,"جيد جداً",IF(E5&gt;=6.6,"جيد",IF(E5&gt;=5,"مقبول","يُعاد"))))</f>
        <v>يُعاد</v>
      </c>
      <c r="K5" s="10" t="str">
        <f>IF(F5&gt;=8.6,"ممتاز",IF(F5&gt;=7.6,"جيد جداً",IF(F5&gt;=6.6,"جيد",IF(F5&gt;=5,"مقبول","يُعاد"))))</f>
        <v>يُعاد</v>
      </c>
      <c r="L5" s="11" t="str">
        <f>IF(G5&gt;=35,"ممتاز",IF(G5&gt;=31,"جيد جداً",IF(G5&gt;=26,"جيد",IF(G5&gt;=20,"مقبول","-"))))</f>
        <v>-</v>
      </c>
    </row>
    <row r="6" spans="1:12" ht="31.5" x14ac:dyDescent="0.2">
      <c r="A6" s="4">
        <v>2</v>
      </c>
      <c r="B6" s="48" t="s">
        <v>236</v>
      </c>
      <c r="C6" s="52">
        <v>7</v>
      </c>
      <c r="D6" s="52">
        <v>10</v>
      </c>
      <c r="E6" s="52">
        <v>9</v>
      </c>
      <c r="F6" s="56">
        <v>10</v>
      </c>
      <c r="G6" s="9">
        <f t="shared" si="0"/>
        <v>36</v>
      </c>
      <c r="H6" s="10" t="str">
        <f t="shared" ref="H6:K31" si="1">IF(C6&gt;=8.6,"ممتاز",IF(C6&gt;=7.6,"جيد جداً",IF(C6&gt;=6.6,"جيد",IF(C6&gt;=5,"مقبول","يُعاد"))))</f>
        <v>جيد</v>
      </c>
      <c r="I6" s="10" t="str">
        <f t="shared" si="1"/>
        <v>ممتاز</v>
      </c>
      <c r="J6" s="10" t="str">
        <f t="shared" si="1"/>
        <v>ممتاز</v>
      </c>
      <c r="K6" s="10" t="str">
        <f t="shared" si="1"/>
        <v>ممتاز</v>
      </c>
      <c r="L6" s="11" t="str">
        <f t="shared" ref="L6:L39" si="2">IF(G6&gt;=35,"ممتاز",IF(G6&gt;=31,"جيد جداً",IF(G6&gt;=26,"جيد",IF(G6&gt;=20,"مقبول","-"))))</f>
        <v>ممتاز</v>
      </c>
    </row>
    <row r="7" spans="1:12" ht="31.5" x14ac:dyDescent="0.2">
      <c r="A7" s="4">
        <v>3</v>
      </c>
      <c r="B7" s="48" t="s">
        <v>237</v>
      </c>
      <c r="C7" s="52">
        <v>7</v>
      </c>
      <c r="D7" s="52">
        <v>7</v>
      </c>
      <c r="E7" s="52">
        <v>9</v>
      </c>
      <c r="F7" s="56">
        <v>10</v>
      </c>
      <c r="G7" s="9">
        <f t="shared" si="0"/>
        <v>33</v>
      </c>
      <c r="H7" s="10" t="str">
        <f t="shared" si="1"/>
        <v>جيد</v>
      </c>
      <c r="I7" s="10" t="str">
        <f t="shared" si="1"/>
        <v>جيد</v>
      </c>
      <c r="J7" s="10" t="str">
        <f t="shared" si="1"/>
        <v>ممتاز</v>
      </c>
      <c r="K7" s="10" t="str">
        <f t="shared" si="1"/>
        <v>ممتاز</v>
      </c>
      <c r="L7" s="11" t="str">
        <f t="shared" si="2"/>
        <v>جيد جداً</v>
      </c>
    </row>
    <row r="8" spans="1:12" ht="31.5" x14ac:dyDescent="0.2">
      <c r="A8" s="4">
        <v>4</v>
      </c>
      <c r="B8" s="48" t="s">
        <v>238</v>
      </c>
      <c r="C8" s="52">
        <v>6.5</v>
      </c>
      <c r="D8" s="52">
        <v>6</v>
      </c>
      <c r="E8" s="52">
        <v>2</v>
      </c>
      <c r="F8" s="56">
        <v>10</v>
      </c>
      <c r="G8" s="9">
        <f t="shared" si="0"/>
        <v>24.5</v>
      </c>
      <c r="H8" s="10" t="str">
        <f t="shared" si="1"/>
        <v>مقبول</v>
      </c>
      <c r="I8" s="10" t="str">
        <f t="shared" si="1"/>
        <v>مقبول</v>
      </c>
      <c r="J8" s="10" t="str">
        <f t="shared" si="1"/>
        <v>يُعاد</v>
      </c>
      <c r="K8" s="10" t="str">
        <f t="shared" si="1"/>
        <v>ممتاز</v>
      </c>
      <c r="L8" s="11" t="str">
        <f t="shared" si="2"/>
        <v>مقبول</v>
      </c>
    </row>
    <row r="9" spans="1:12" ht="31.5" x14ac:dyDescent="0.2">
      <c r="A9" s="4">
        <v>5</v>
      </c>
      <c r="B9" s="48" t="s">
        <v>239</v>
      </c>
      <c r="C9" s="52"/>
      <c r="D9" s="52"/>
      <c r="E9" s="52"/>
      <c r="F9" s="56"/>
      <c r="G9" s="9">
        <f t="shared" si="0"/>
        <v>0</v>
      </c>
      <c r="H9" s="10" t="str">
        <f t="shared" si="1"/>
        <v>يُعاد</v>
      </c>
      <c r="I9" s="10" t="str">
        <f t="shared" si="1"/>
        <v>يُعاد</v>
      </c>
      <c r="J9" s="10" t="str">
        <f t="shared" si="1"/>
        <v>يُعاد</v>
      </c>
      <c r="K9" s="10" t="str">
        <f t="shared" si="1"/>
        <v>يُعاد</v>
      </c>
      <c r="L9" s="11" t="str">
        <f t="shared" si="2"/>
        <v>-</v>
      </c>
    </row>
    <row r="10" spans="1:12" ht="31.5" x14ac:dyDescent="0.2">
      <c r="A10" s="4">
        <v>6</v>
      </c>
      <c r="B10" s="48" t="s">
        <v>63</v>
      </c>
      <c r="C10" s="52">
        <v>9</v>
      </c>
      <c r="D10" s="52">
        <v>10</v>
      </c>
      <c r="E10" s="52">
        <v>4</v>
      </c>
      <c r="F10" s="56">
        <v>8.5</v>
      </c>
      <c r="G10" s="9">
        <f t="shared" si="0"/>
        <v>31.5</v>
      </c>
      <c r="H10" s="10" t="str">
        <f t="shared" si="1"/>
        <v>ممتاز</v>
      </c>
      <c r="I10" s="10" t="str">
        <f t="shared" si="1"/>
        <v>ممتاز</v>
      </c>
      <c r="J10" s="10" t="str">
        <f t="shared" si="1"/>
        <v>يُعاد</v>
      </c>
      <c r="K10" s="10" t="str">
        <f t="shared" si="1"/>
        <v>جيد جداً</v>
      </c>
      <c r="L10" s="11" t="str">
        <f t="shared" si="2"/>
        <v>جيد جداً</v>
      </c>
    </row>
    <row r="11" spans="1:12" ht="31.5" x14ac:dyDescent="0.2">
      <c r="A11" s="4">
        <v>7</v>
      </c>
      <c r="B11" s="48" t="s">
        <v>240</v>
      </c>
      <c r="C11" s="52">
        <v>6.5</v>
      </c>
      <c r="D11" s="52">
        <v>1.5</v>
      </c>
      <c r="E11" s="52">
        <v>3</v>
      </c>
      <c r="F11" s="56">
        <v>7.5</v>
      </c>
      <c r="G11" s="9">
        <f t="shared" si="0"/>
        <v>18.5</v>
      </c>
      <c r="H11" s="10" t="str">
        <f t="shared" si="1"/>
        <v>مقبول</v>
      </c>
      <c r="I11" s="10" t="str">
        <f t="shared" si="1"/>
        <v>يُعاد</v>
      </c>
      <c r="J11" s="10" t="str">
        <f t="shared" si="1"/>
        <v>يُعاد</v>
      </c>
      <c r="K11" s="10" t="str">
        <f t="shared" si="1"/>
        <v>جيد</v>
      </c>
      <c r="L11" s="11" t="str">
        <f t="shared" si="2"/>
        <v>-</v>
      </c>
    </row>
    <row r="12" spans="1:12" ht="31.5" x14ac:dyDescent="0.2">
      <c r="A12" s="4">
        <v>8</v>
      </c>
      <c r="B12" s="48" t="s">
        <v>241</v>
      </c>
      <c r="C12" s="52"/>
      <c r="D12" s="52"/>
      <c r="E12" s="52"/>
      <c r="F12" s="56"/>
      <c r="G12" s="9">
        <f t="shared" si="0"/>
        <v>0</v>
      </c>
      <c r="H12" s="10" t="str">
        <f t="shared" si="1"/>
        <v>يُعاد</v>
      </c>
      <c r="I12" s="10" t="str">
        <f t="shared" si="1"/>
        <v>يُعاد</v>
      </c>
      <c r="J12" s="10" t="str">
        <f t="shared" si="1"/>
        <v>يُعاد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242</v>
      </c>
      <c r="C13" s="52"/>
      <c r="D13" s="52"/>
      <c r="E13" s="52"/>
      <c r="F13" s="56"/>
      <c r="G13" s="9">
        <f t="shared" si="0"/>
        <v>0</v>
      </c>
      <c r="H13" s="10" t="str">
        <f t="shared" si="1"/>
        <v>يُعاد</v>
      </c>
      <c r="I13" s="10" t="str">
        <f t="shared" si="1"/>
        <v>يُعاد</v>
      </c>
      <c r="J13" s="10" t="str">
        <f t="shared" si="1"/>
        <v>يُعاد</v>
      </c>
      <c r="K13" s="10" t="str">
        <f t="shared" si="1"/>
        <v>يُعاد</v>
      </c>
      <c r="L13" s="11" t="str">
        <f t="shared" si="2"/>
        <v>-</v>
      </c>
    </row>
    <row r="14" spans="1:12" ht="31.5" x14ac:dyDescent="0.2">
      <c r="A14" s="4">
        <v>10</v>
      </c>
      <c r="B14" s="48" t="s">
        <v>243</v>
      </c>
      <c r="C14" s="52">
        <v>7</v>
      </c>
      <c r="D14" s="52">
        <v>3</v>
      </c>
      <c r="E14" s="52">
        <v>3</v>
      </c>
      <c r="F14" s="56">
        <v>7.5</v>
      </c>
      <c r="G14" s="9">
        <f t="shared" si="0"/>
        <v>20.5</v>
      </c>
      <c r="H14" s="10" t="str">
        <f t="shared" si="1"/>
        <v>جيد</v>
      </c>
      <c r="I14" s="10" t="str">
        <f t="shared" si="1"/>
        <v>يُعاد</v>
      </c>
      <c r="J14" s="10" t="str">
        <f t="shared" si="1"/>
        <v>يُعاد</v>
      </c>
      <c r="K14" s="10" t="str">
        <f t="shared" si="1"/>
        <v>جيد</v>
      </c>
      <c r="L14" s="11" t="str">
        <f t="shared" si="2"/>
        <v>مقبول</v>
      </c>
    </row>
    <row r="15" spans="1:12" ht="31.5" x14ac:dyDescent="0.2">
      <c r="A15" s="4">
        <v>11</v>
      </c>
      <c r="B15" s="48" t="s">
        <v>56</v>
      </c>
      <c r="C15" s="52"/>
      <c r="D15" s="52"/>
      <c r="E15" s="52"/>
      <c r="F15" s="56"/>
      <c r="G15" s="9">
        <f t="shared" si="0"/>
        <v>0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يُعاد</v>
      </c>
      <c r="L15" s="11" t="str">
        <f t="shared" si="2"/>
        <v>-</v>
      </c>
    </row>
    <row r="16" spans="1:12" ht="31.5" x14ac:dyDescent="0.2">
      <c r="A16" s="4">
        <v>12</v>
      </c>
      <c r="B16" s="48" t="s">
        <v>244</v>
      </c>
      <c r="C16" s="52"/>
      <c r="D16" s="52"/>
      <c r="E16" s="52"/>
      <c r="F16" s="56"/>
      <c r="G16" s="9">
        <f t="shared" si="0"/>
        <v>0</v>
      </c>
      <c r="H16" s="10" t="str">
        <f t="shared" si="1"/>
        <v>يُعاد</v>
      </c>
      <c r="I16" s="10" t="str">
        <f t="shared" si="1"/>
        <v>يُعاد</v>
      </c>
      <c r="J16" s="10" t="str">
        <f t="shared" si="1"/>
        <v>يُعاد</v>
      </c>
      <c r="K16" s="10" t="str">
        <f t="shared" si="1"/>
        <v>يُعاد</v>
      </c>
      <c r="L16" s="11" t="str">
        <f t="shared" si="2"/>
        <v>-</v>
      </c>
    </row>
    <row r="17" spans="1:12" ht="31.5" x14ac:dyDescent="0.2">
      <c r="A17" s="4">
        <v>13</v>
      </c>
      <c r="B17" s="48" t="s">
        <v>58</v>
      </c>
      <c r="C17" s="52">
        <v>9</v>
      </c>
      <c r="D17" s="52">
        <v>5</v>
      </c>
      <c r="E17" s="52">
        <v>7</v>
      </c>
      <c r="F17" s="56">
        <v>10</v>
      </c>
      <c r="G17" s="9">
        <f t="shared" si="0"/>
        <v>31</v>
      </c>
      <c r="H17" s="10" t="str">
        <f t="shared" si="1"/>
        <v>ممتاز</v>
      </c>
      <c r="I17" s="10" t="str">
        <f t="shared" si="1"/>
        <v>مقبول</v>
      </c>
      <c r="J17" s="10" t="str">
        <f t="shared" si="1"/>
        <v>جيد</v>
      </c>
      <c r="K17" s="10" t="str">
        <f t="shared" si="1"/>
        <v>ممتاز</v>
      </c>
      <c r="L17" s="11" t="str">
        <f t="shared" si="2"/>
        <v>جيد جداً</v>
      </c>
    </row>
    <row r="18" spans="1:12" ht="31.5" x14ac:dyDescent="0.2">
      <c r="A18" s="4">
        <v>14</v>
      </c>
      <c r="B18" s="48" t="s">
        <v>57</v>
      </c>
      <c r="C18" s="52">
        <v>7</v>
      </c>
      <c r="D18" s="52">
        <v>10</v>
      </c>
      <c r="E18" s="52">
        <v>7</v>
      </c>
      <c r="F18" s="56">
        <v>10</v>
      </c>
      <c r="G18" s="9">
        <f t="shared" si="0"/>
        <v>34</v>
      </c>
      <c r="H18" s="10" t="str">
        <f t="shared" si="1"/>
        <v>جيد</v>
      </c>
      <c r="I18" s="10" t="str">
        <f t="shared" si="1"/>
        <v>ممتاز</v>
      </c>
      <c r="J18" s="10" t="str">
        <f t="shared" si="1"/>
        <v>جيد</v>
      </c>
      <c r="K18" s="10" t="str">
        <f t="shared" si="1"/>
        <v>ممتاز</v>
      </c>
      <c r="L18" s="11" t="str">
        <f t="shared" si="2"/>
        <v>جيد جداً</v>
      </c>
    </row>
    <row r="19" spans="1:12" ht="31.5" x14ac:dyDescent="0.2">
      <c r="A19" s="4">
        <v>15</v>
      </c>
      <c r="B19" s="48" t="s">
        <v>61</v>
      </c>
      <c r="C19" s="52">
        <v>8</v>
      </c>
      <c r="D19" s="52">
        <v>9</v>
      </c>
      <c r="E19" s="52">
        <v>9</v>
      </c>
      <c r="F19" s="56">
        <v>10</v>
      </c>
      <c r="G19" s="9">
        <f t="shared" si="0"/>
        <v>36</v>
      </c>
      <c r="H19" s="10" t="str">
        <f t="shared" si="1"/>
        <v>جيد جداً</v>
      </c>
      <c r="I19" s="10" t="str">
        <f t="shared" si="1"/>
        <v>ممتاز</v>
      </c>
      <c r="J19" s="10" t="str">
        <f t="shared" si="1"/>
        <v>ممتاز</v>
      </c>
      <c r="K19" s="10" t="str">
        <f t="shared" si="1"/>
        <v>ممتاز</v>
      </c>
      <c r="L19" s="11" t="str">
        <f t="shared" si="2"/>
        <v>ممتاز</v>
      </c>
    </row>
    <row r="20" spans="1:12" ht="31.5" x14ac:dyDescent="0.2">
      <c r="A20" s="4">
        <v>16</v>
      </c>
      <c r="B20" s="48" t="s">
        <v>65</v>
      </c>
      <c r="C20" s="52">
        <v>4</v>
      </c>
      <c r="D20" s="52">
        <v>3</v>
      </c>
      <c r="E20" s="52">
        <v>3</v>
      </c>
      <c r="F20" s="56">
        <v>5</v>
      </c>
      <c r="G20" s="9">
        <f t="shared" si="0"/>
        <v>15</v>
      </c>
      <c r="H20" s="10" t="str">
        <f t="shared" si="1"/>
        <v>يُعاد</v>
      </c>
      <c r="I20" s="10" t="str">
        <f t="shared" si="1"/>
        <v>يُعاد</v>
      </c>
      <c r="J20" s="10" t="str">
        <f t="shared" si="1"/>
        <v>يُعاد</v>
      </c>
      <c r="K20" s="10" t="str">
        <f t="shared" si="1"/>
        <v>مقبول</v>
      </c>
      <c r="L20" s="11" t="str">
        <f t="shared" si="2"/>
        <v>-</v>
      </c>
    </row>
    <row r="21" spans="1:12" ht="31.5" x14ac:dyDescent="0.2">
      <c r="A21" s="4">
        <v>17</v>
      </c>
      <c r="B21" s="48" t="s">
        <v>245</v>
      </c>
      <c r="C21" s="52"/>
      <c r="D21" s="52"/>
      <c r="E21" s="52"/>
      <c r="F21" s="56"/>
      <c r="G21" s="9">
        <f t="shared" si="0"/>
        <v>0</v>
      </c>
      <c r="H21" s="10" t="str">
        <f t="shared" si="1"/>
        <v>يُعاد</v>
      </c>
      <c r="I21" s="10" t="str">
        <f t="shared" si="1"/>
        <v>يُعاد</v>
      </c>
      <c r="J21" s="10" t="str">
        <f t="shared" si="1"/>
        <v>يُعاد</v>
      </c>
      <c r="K21" s="10" t="str">
        <f t="shared" si="1"/>
        <v>يُعاد</v>
      </c>
      <c r="L21" s="11" t="str">
        <f t="shared" si="2"/>
        <v>-</v>
      </c>
    </row>
    <row r="22" spans="1:12" ht="31.5" x14ac:dyDescent="0.2">
      <c r="A22" s="4">
        <v>18</v>
      </c>
      <c r="B22" s="48" t="s">
        <v>246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55</v>
      </c>
      <c r="C23" s="52">
        <v>9.5</v>
      </c>
      <c r="D23" s="52">
        <v>4</v>
      </c>
      <c r="E23" s="52">
        <v>4</v>
      </c>
      <c r="F23" s="56">
        <v>7.5</v>
      </c>
      <c r="G23" s="9">
        <f t="shared" si="0"/>
        <v>25</v>
      </c>
      <c r="H23" s="10" t="str">
        <f t="shared" si="1"/>
        <v>ممتاز</v>
      </c>
      <c r="I23" s="10" t="str">
        <f t="shared" si="1"/>
        <v>يُعاد</v>
      </c>
      <c r="J23" s="10" t="str">
        <f t="shared" si="1"/>
        <v>يُعاد</v>
      </c>
      <c r="K23" s="10" t="str">
        <f t="shared" si="1"/>
        <v>جيد</v>
      </c>
      <c r="L23" s="11" t="str">
        <f t="shared" si="2"/>
        <v>مقبول</v>
      </c>
    </row>
    <row r="24" spans="1:12" ht="31.5" x14ac:dyDescent="0.2">
      <c r="A24" s="4">
        <v>20</v>
      </c>
      <c r="B24" s="48" t="s">
        <v>62</v>
      </c>
      <c r="C24" s="52"/>
      <c r="D24" s="52"/>
      <c r="E24" s="52"/>
      <c r="F24" s="56"/>
      <c r="G24" s="9">
        <f t="shared" si="0"/>
        <v>0</v>
      </c>
      <c r="H24" s="10" t="str">
        <f t="shared" si="1"/>
        <v>يُعاد</v>
      </c>
      <c r="I24" s="10" t="str">
        <f t="shared" si="1"/>
        <v>يُعاد</v>
      </c>
      <c r="J24" s="10" t="str">
        <f t="shared" si="1"/>
        <v>يُعاد</v>
      </c>
      <c r="K24" s="10" t="str">
        <f t="shared" si="1"/>
        <v>يُعاد</v>
      </c>
      <c r="L24" s="11" t="str">
        <f t="shared" si="2"/>
        <v>-</v>
      </c>
    </row>
    <row r="25" spans="1:12" ht="31.5" x14ac:dyDescent="0.2">
      <c r="A25" s="4">
        <v>21</v>
      </c>
      <c r="B25" s="48" t="s">
        <v>247</v>
      </c>
      <c r="C25" s="52">
        <v>8</v>
      </c>
      <c r="D25" s="52">
        <v>10</v>
      </c>
      <c r="E25" s="52">
        <v>9</v>
      </c>
      <c r="F25" s="56">
        <v>10</v>
      </c>
      <c r="G25" s="9">
        <f t="shared" si="0"/>
        <v>37</v>
      </c>
      <c r="H25" s="10" t="str">
        <f t="shared" si="1"/>
        <v>جيد جداً</v>
      </c>
      <c r="I25" s="10" t="str">
        <f t="shared" si="1"/>
        <v>ممتاز</v>
      </c>
      <c r="J25" s="10" t="str">
        <f t="shared" si="1"/>
        <v>ممتاز</v>
      </c>
      <c r="K25" s="10" t="str">
        <f t="shared" si="1"/>
        <v>ممتاز</v>
      </c>
      <c r="L25" s="11" t="str">
        <f t="shared" si="2"/>
        <v>ممتاز</v>
      </c>
    </row>
    <row r="26" spans="1:12" ht="31.5" x14ac:dyDescent="0.2">
      <c r="A26" s="4">
        <v>22</v>
      </c>
      <c r="B26" s="48" t="s">
        <v>248</v>
      </c>
      <c r="C26" s="52">
        <v>8</v>
      </c>
      <c r="D26" s="52">
        <v>7</v>
      </c>
      <c r="E26" s="52">
        <v>7</v>
      </c>
      <c r="F26" s="56">
        <v>10</v>
      </c>
      <c r="G26" s="9">
        <f t="shared" si="0"/>
        <v>32</v>
      </c>
      <c r="H26" s="10" t="str">
        <f t="shared" si="1"/>
        <v>جيد جداً</v>
      </c>
      <c r="I26" s="10" t="str">
        <f t="shared" si="1"/>
        <v>جيد</v>
      </c>
      <c r="J26" s="10" t="str">
        <f t="shared" si="1"/>
        <v>جيد</v>
      </c>
      <c r="K26" s="10" t="str">
        <f t="shared" si="1"/>
        <v>ممتاز</v>
      </c>
      <c r="L26" s="11" t="str">
        <f t="shared" si="2"/>
        <v>جيد جداً</v>
      </c>
    </row>
    <row r="27" spans="1:12" ht="31.5" x14ac:dyDescent="0.2">
      <c r="A27" s="4">
        <v>23</v>
      </c>
      <c r="B27" s="48" t="s">
        <v>249</v>
      </c>
      <c r="C27" s="52"/>
      <c r="D27" s="52"/>
      <c r="E27" s="52"/>
      <c r="F27" s="56"/>
      <c r="G27" s="9">
        <f t="shared" si="0"/>
        <v>0</v>
      </c>
      <c r="H27" s="10" t="str">
        <f t="shared" si="1"/>
        <v>يُعاد</v>
      </c>
      <c r="I27" s="10" t="str">
        <f t="shared" si="1"/>
        <v>يُعاد</v>
      </c>
      <c r="J27" s="10" t="str">
        <f t="shared" si="1"/>
        <v>يُعاد</v>
      </c>
      <c r="K27" s="10" t="str">
        <f t="shared" si="1"/>
        <v>يُعاد</v>
      </c>
      <c r="L27" s="11" t="str">
        <f t="shared" si="2"/>
        <v>-</v>
      </c>
    </row>
    <row r="28" spans="1:12" ht="31.5" x14ac:dyDescent="0.2">
      <c r="A28" s="4">
        <v>24</v>
      </c>
      <c r="B28" s="48" t="s">
        <v>250</v>
      </c>
      <c r="C28" s="52"/>
      <c r="D28" s="52"/>
      <c r="E28" s="52"/>
      <c r="F28" s="56"/>
      <c r="G28" s="9">
        <f t="shared" si="0"/>
        <v>0</v>
      </c>
      <c r="H28" s="10" t="str">
        <f t="shared" si="1"/>
        <v>يُعاد</v>
      </c>
      <c r="I28" s="10" t="str">
        <f t="shared" si="1"/>
        <v>يُعاد</v>
      </c>
      <c r="J28" s="10" t="str">
        <f t="shared" si="1"/>
        <v>يُعاد</v>
      </c>
      <c r="K28" s="10" t="str">
        <f t="shared" si="1"/>
        <v>يُعاد</v>
      </c>
      <c r="L28" s="11" t="str">
        <f t="shared" si="2"/>
        <v>-</v>
      </c>
    </row>
    <row r="29" spans="1:12" ht="31.5" x14ac:dyDescent="0.2">
      <c r="A29" s="4">
        <v>25</v>
      </c>
      <c r="B29" s="48" t="s">
        <v>251</v>
      </c>
      <c r="C29" s="52">
        <v>6</v>
      </c>
      <c r="D29" s="52">
        <v>10</v>
      </c>
      <c r="E29" s="52">
        <v>10</v>
      </c>
      <c r="F29" s="56">
        <v>10</v>
      </c>
      <c r="G29" s="9">
        <f t="shared" si="0"/>
        <v>36</v>
      </c>
      <c r="H29" s="10" t="str">
        <f t="shared" si="1"/>
        <v>مقبول</v>
      </c>
      <c r="I29" s="10" t="str">
        <f t="shared" si="1"/>
        <v>ممتاز</v>
      </c>
      <c r="J29" s="10" t="str">
        <f t="shared" si="1"/>
        <v>ممتاز</v>
      </c>
      <c r="K29" s="10" t="str">
        <f t="shared" si="1"/>
        <v>ممتاز</v>
      </c>
      <c r="L29" s="11" t="str">
        <f t="shared" si="2"/>
        <v>ممتاز</v>
      </c>
    </row>
    <row r="30" spans="1:12" ht="31.5" x14ac:dyDescent="0.2">
      <c r="A30" s="4">
        <v>26</v>
      </c>
      <c r="B30" s="48" t="s">
        <v>54</v>
      </c>
      <c r="C30" s="52"/>
      <c r="D30" s="52"/>
      <c r="E30" s="52"/>
      <c r="F30" s="56"/>
      <c r="G30" s="9">
        <f t="shared" si="0"/>
        <v>0</v>
      </c>
      <c r="H30" s="10" t="str">
        <f t="shared" si="1"/>
        <v>يُعاد</v>
      </c>
      <c r="I30" s="10" t="str">
        <f t="shared" si="1"/>
        <v>يُعاد</v>
      </c>
      <c r="J30" s="10" t="str">
        <f t="shared" si="1"/>
        <v>يُعاد</v>
      </c>
      <c r="K30" s="10" t="str">
        <f t="shared" si="1"/>
        <v>يُعاد</v>
      </c>
      <c r="L30" s="11" t="str">
        <f t="shared" si="2"/>
        <v>-</v>
      </c>
    </row>
    <row r="31" spans="1:12" ht="31.5" x14ac:dyDescent="0.2">
      <c r="A31" s="4">
        <v>27</v>
      </c>
      <c r="B31" s="48" t="s">
        <v>252</v>
      </c>
      <c r="C31" s="52"/>
      <c r="D31" s="52"/>
      <c r="E31" s="52"/>
      <c r="F31" s="56"/>
      <c r="G31" s="9">
        <f t="shared" si="0"/>
        <v>0</v>
      </c>
      <c r="H31" s="10" t="str">
        <f t="shared" si="1"/>
        <v>يُعاد</v>
      </c>
      <c r="I31" s="10" t="str">
        <f t="shared" si="1"/>
        <v>يُعاد</v>
      </c>
      <c r="J31" s="10" t="str">
        <f t="shared" si="1"/>
        <v>يُعاد</v>
      </c>
      <c r="K31" s="10" t="str">
        <f t="shared" si="1"/>
        <v>يُعاد</v>
      </c>
      <c r="L31" s="11" t="str">
        <f t="shared" si="2"/>
        <v>-</v>
      </c>
    </row>
    <row r="32" spans="1:12" ht="31.5" x14ac:dyDescent="0.2">
      <c r="A32" s="4">
        <v>28</v>
      </c>
      <c r="B32" s="48" t="s">
        <v>253</v>
      </c>
      <c r="C32" s="52"/>
      <c r="D32" s="52"/>
      <c r="E32" s="52"/>
      <c r="F32" s="56"/>
      <c r="G32" s="9">
        <f t="shared" si="0"/>
        <v>0</v>
      </c>
      <c r="H32" s="10" t="str">
        <f t="shared" ref="H32:K39" si="3">IF(C32&gt;=8.6,"ممتاز",IF(C32&gt;=7.6,"جيد جداً",IF(C32&gt;=6.6,"جيد",IF(C32&gt;=5,"مقبول","يُعاد"))))</f>
        <v>يُعاد</v>
      </c>
      <c r="I32" s="10" t="str">
        <f t="shared" si="3"/>
        <v>يُعاد</v>
      </c>
      <c r="J32" s="10" t="str">
        <f t="shared" si="3"/>
        <v>يُعاد</v>
      </c>
      <c r="K32" s="10" t="str">
        <f t="shared" si="3"/>
        <v>يُعاد</v>
      </c>
      <c r="L32" s="11" t="str">
        <f t="shared" si="2"/>
        <v>-</v>
      </c>
    </row>
    <row r="33" spans="1:12" ht="31.5" x14ac:dyDescent="0.2">
      <c r="A33" s="4">
        <v>29</v>
      </c>
      <c r="B33" s="48" t="s">
        <v>254</v>
      </c>
      <c r="C33" s="52"/>
      <c r="D33" s="52"/>
      <c r="E33" s="52"/>
      <c r="F33" s="56"/>
      <c r="G33" s="9">
        <f t="shared" si="0"/>
        <v>0</v>
      </c>
      <c r="H33" s="10" t="str">
        <f t="shared" si="3"/>
        <v>يُعاد</v>
      </c>
      <c r="I33" s="10" t="str">
        <f t="shared" si="3"/>
        <v>يُعاد</v>
      </c>
      <c r="J33" s="10" t="str">
        <f t="shared" si="3"/>
        <v>يُعاد</v>
      </c>
      <c r="K33" s="10" t="str">
        <f t="shared" si="3"/>
        <v>يُعاد</v>
      </c>
      <c r="L33" s="11" t="str">
        <f t="shared" si="2"/>
        <v>-</v>
      </c>
    </row>
    <row r="34" spans="1:12" ht="31.5" x14ac:dyDescent="0.2">
      <c r="A34" s="4">
        <v>30</v>
      </c>
      <c r="B34" s="48" t="s">
        <v>255</v>
      </c>
      <c r="C34" s="52">
        <v>9</v>
      </c>
      <c r="D34" s="52">
        <v>5</v>
      </c>
      <c r="E34" s="52">
        <v>8</v>
      </c>
      <c r="F34" s="56">
        <v>7.5</v>
      </c>
      <c r="G34" s="9">
        <f t="shared" si="0"/>
        <v>29.5</v>
      </c>
      <c r="H34" s="10" t="str">
        <f t="shared" si="3"/>
        <v>ممتاز</v>
      </c>
      <c r="I34" s="10" t="str">
        <f t="shared" si="3"/>
        <v>مقبول</v>
      </c>
      <c r="J34" s="10" t="str">
        <f t="shared" si="3"/>
        <v>جيد جداً</v>
      </c>
      <c r="K34" s="10" t="str">
        <f t="shared" si="3"/>
        <v>جيد</v>
      </c>
      <c r="L34" s="11" t="str">
        <f t="shared" si="2"/>
        <v>جيد</v>
      </c>
    </row>
    <row r="35" spans="1:12" ht="31.5" x14ac:dyDescent="0.2">
      <c r="A35" s="4">
        <v>31</v>
      </c>
      <c r="B35" s="48" t="s">
        <v>64</v>
      </c>
      <c r="C35" s="52"/>
      <c r="D35" s="52"/>
      <c r="E35" s="52"/>
      <c r="F35" s="56"/>
      <c r="G35" s="9">
        <f t="shared" si="0"/>
        <v>0</v>
      </c>
      <c r="H35" s="10" t="str">
        <f t="shared" si="3"/>
        <v>يُعاد</v>
      </c>
      <c r="I35" s="10" t="str">
        <f t="shared" si="3"/>
        <v>يُعاد</v>
      </c>
      <c r="J35" s="10" t="str">
        <f t="shared" si="3"/>
        <v>يُعاد</v>
      </c>
      <c r="K35" s="10" t="str">
        <f t="shared" si="3"/>
        <v>يُعاد</v>
      </c>
      <c r="L35" s="11" t="str">
        <f t="shared" si="2"/>
        <v>-</v>
      </c>
    </row>
    <row r="36" spans="1:12" ht="31.5" x14ac:dyDescent="0.2">
      <c r="A36" s="4">
        <v>32</v>
      </c>
      <c r="B36" s="48" t="s">
        <v>60</v>
      </c>
      <c r="C36" s="52">
        <v>9</v>
      </c>
      <c r="D36" s="52">
        <v>9</v>
      </c>
      <c r="E36" s="52">
        <v>9</v>
      </c>
      <c r="F36" s="56">
        <v>10</v>
      </c>
      <c r="G36" s="9">
        <f t="shared" si="0"/>
        <v>37</v>
      </c>
      <c r="H36" s="10" t="str">
        <f t="shared" si="3"/>
        <v>ممتاز</v>
      </c>
      <c r="I36" s="10" t="str">
        <f t="shared" si="3"/>
        <v>ممتاز</v>
      </c>
      <c r="J36" s="10" t="str">
        <f t="shared" si="3"/>
        <v>ممتاز</v>
      </c>
      <c r="K36" s="10" t="str">
        <f t="shared" si="3"/>
        <v>ممتاز</v>
      </c>
      <c r="L36" s="11" t="str">
        <f t="shared" si="2"/>
        <v>ممتاز</v>
      </c>
    </row>
    <row r="37" spans="1:12" ht="31.5" x14ac:dyDescent="0.2">
      <c r="A37" s="4">
        <v>33</v>
      </c>
      <c r="B37" s="48" t="s">
        <v>256</v>
      </c>
      <c r="C37" s="52"/>
      <c r="D37" s="52"/>
      <c r="E37" s="52"/>
      <c r="F37" s="56"/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31.5" x14ac:dyDescent="0.2">
      <c r="A38" s="4">
        <v>34</v>
      </c>
      <c r="B38" s="48" t="s">
        <v>59</v>
      </c>
      <c r="C38" s="52">
        <v>10</v>
      </c>
      <c r="D38" s="52">
        <v>10</v>
      </c>
      <c r="E38" s="52">
        <v>9</v>
      </c>
      <c r="F38" s="56">
        <v>10</v>
      </c>
      <c r="G38" s="9">
        <f t="shared" si="0"/>
        <v>39</v>
      </c>
      <c r="H38" s="10" t="str">
        <f t="shared" si="3"/>
        <v>ممتاز</v>
      </c>
      <c r="I38" s="10" t="str">
        <f t="shared" si="3"/>
        <v>ممتاز</v>
      </c>
      <c r="J38" s="10" t="str">
        <f t="shared" si="3"/>
        <v>ممتاز</v>
      </c>
      <c r="K38" s="10" t="str">
        <f t="shared" si="3"/>
        <v>ممتاز</v>
      </c>
      <c r="L38" s="11" t="str">
        <f t="shared" si="2"/>
        <v>ممتاز</v>
      </c>
    </row>
    <row r="39" spans="1:12" ht="32.25" thickBot="1" x14ac:dyDescent="0.25">
      <c r="A39" s="4">
        <v>35</v>
      </c>
      <c r="B39" s="60" t="s">
        <v>293</v>
      </c>
      <c r="C39" s="61">
        <v>10</v>
      </c>
      <c r="D39" s="61">
        <v>9</v>
      </c>
      <c r="E39" s="61">
        <v>9</v>
      </c>
      <c r="F39" s="62">
        <v>10</v>
      </c>
      <c r="G39" s="9">
        <f t="shared" si="0"/>
        <v>38</v>
      </c>
      <c r="H39" s="10" t="str">
        <f t="shared" si="3"/>
        <v>ممتاز</v>
      </c>
      <c r="I39" s="10" t="str">
        <f t="shared" si="3"/>
        <v>ممتاز</v>
      </c>
      <c r="J39" s="10" t="str">
        <f t="shared" si="3"/>
        <v>ممتاز</v>
      </c>
      <c r="K39" s="10" t="str">
        <f t="shared" si="3"/>
        <v>ممتاز</v>
      </c>
      <c r="L39" s="11" t="str">
        <f t="shared" si="2"/>
        <v>ممتاز</v>
      </c>
    </row>
    <row r="40" spans="1:12" x14ac:dyDescent="0.4">
      <c r="A40" s="49"/>
      <c r="E40"/>
      <c r="F40"/>
    </row>
    <row r="41" spans="1:12" x14ac:dyDescent="0.4">
      <c r="A41" s="49"/>
      <c r="E41"/>
      <c r="F41"/>
    </row>
    <row r="42" spans="1:12" x14ac:dyDescent="0.4">
      <c r="A42" s="49"/>
      <c r="E42"/>
      <c r="F42"/>
    </row>
    <row r="43" spans="1:12" x14ac:dyDescent="0.4">
      <c r="A43" s="49"/>
      <c r="E43"/>
      <c r="F43"/>
    </row>
    <row r="44" spans="1:12" x14ac:dyDescent="0.4">
      <c r="A44" s="49"/>
      <c r="E44"/>
      <c r="F44"/>
    </row>
    <row r="45" spans="1:12" x14ac:dyDescent="0.4">
      <c r="A45" s="49"/>
      <c r="E45"/>
      <c r="F45"/>
    </row>
    <row r="46" spans="1:12" x14ac:dyDescent="0.4">
      <c r="A46" s="49"/>
      <c r="E46"/>
      <c r="F46"/>
    </row>
    <row r="47" spans="1:12" x14ac:dyDescent="0.4">
      <c r="A47" s="49"/>
      <c r="E47"/>
      <c r="F47"/>
    </row>
    <row r="48" spans="1:12" x14ac:dyDescent="0.4">
      <c r="A48" s="49"/>
      <c r="E48"/>
      <c r="F48"/>
    </row>
    <row r="49" spans="1:6" x14ac:dyDescent="0.4">
      <c r="A49" s="49"/>
      <c r="E49"/>
      <c r="F49"/>
    </row>
    <row r="50" spans="1:6" x14ac:dyDescent="0.4">
      <c r="A50" s="49"/>
      <c r="E50"/>
      <c r="F50"/>
    </row>
    <row r="51" spans="1:6" x14ac:dyDescent="0.4">
      <c r="A51" s="49"/>
      <c r="E51"/>
      <c r="F51"/>
    </row>
    <row r="52" spans="1:6" x14ac:dyDescent="0.4">
      <c r="A52" s="49"/>
      <c r="E52"/>
      <c r="F52"/>
    </row>
    <row r="53" spans="1:6" x14ac:dyDescent="0.4">
      <c r="A53" s="49"/>
      <c r="E53"/>
      <c r="F53"/>
    </row>
    <row r="54" spans="1:6" x14ac:dyDescent="0.4">
      <c r="A54" s="49"/>
      <c r="E54"/>
      <c r="F54"/>
    </row>
    <row r="55" spans="1:6" x14ac:dyDescent="0.4">
      <c r="A55" s="49"/>
      <c r="E55"/>
      <c r="F55"/>
    </row>
    <row r="56" spans="1:6" x14ac:dyDescent="0.4">
      <c r="A56" s="49"/>
      <c r="E56"/>
      <c r="F56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rightToLeft="1" workbookViewId="0">
      <selection activeCell="H1" sqref="A1:XFD1048576"/>
    </sheetView>
  </sheetViews>
  <sheetFormatPr defaultRowHeight="30" x14ac:dyDescent="0.4"/>
  <cols>
    <col min="2" max="2" width="50.5" style="49" customWidth="1"/>
    <col min="3" max="3" width="11.125" style="49" customWidth="1"/>
    <col min="4" max="4" width="11.875" style="49" customWidth="1"/>
    <col min="5" max="5" width="10.25" style="49" customWidth="1"/>
    <col min="6" max="6" width="9" style="49"/>
    <col min="12" max="12" width="17.25" customWidth="1"/>
  </cols>
  <sheetData>
    <row r="1" spans="1:12" ht="23.25" x14ac:dyDescent="0.35">
      <c r="B1"/>
      <c r="C1"/>
      <c r="D1" s="32" t="s">
        <v>409</v>
      </c>
      <c r="E1" s="32"/>
      <c r="F1" s="32"/>
    </row>
    <row r="2" spans="1:12" ht="15" thickBot="1" x14ac:dyDescent="0.25">
      <c r="B2"/>
      <c r="C2"/>
      <c r="D2"/>
      <c r="E2"/>
      <c r="F2"/>
    </row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32.25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0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257</v>
      </c>
      <c r="C5" s="51">
        <v>6</v>
      </c>
      <c r="D5" s="51">
        <v>10</v>
      </c>
      <c r="E5" s="53">
        <v>10</v>
      </c>
      <c r="F5" s="55">
        <v>8</v>
      </c>
      <c r="G5" s="9">
        <f t="shared" ref="G5:G37" si="0">SUM(C5:F5)</f>
        <v>34</v>
      </c>
      <c r="H5" s="10" t="str">
        <f>IF(C5&gt;=8.6,"ممتاز",IF(C5&gt;=7.5,"جيد جداً",IF(C5&gt;=6.5,"جيد",IF(C5&gt;=5,"مقبول","يُعاد"))))</f>
        <v>مقبول</v>
      </c>
      <c r="I5" s="10" t="str">
        <f>IF(D5&gt;=8.6,"ممتاز",IF(D5&gt;=7.6,"جيد جداً",IF(D5&gt;=6.6,"جيد",IF(D5&gt;=5,"مقبول","يُعاد"))))</f>
        <v>ممتاز</v>
      </c>
      <c r="J5" s="10" t="str">
        <f>IF(E5&gt;=8.6,"ممتاز",IF(E5&gt;=7.6,"جيد جداً",IF(E5&gt;=6.6,"جيد",IF(E5&gt;=5,"مقبول","يُعاد"))))</f>
        <v>ممتاز</v>
      </c>
      <c r="K5" s="10" t="str">
        <f>IF(F5&gt;=8.6,"ممتاز",IF(F5&gt;=7.6,"جيد جداً",IF(F5&gt;=6.6,"جيد",IF(F5&gt;=5,"مقبول","يُعاد"))))</f>
        <v>جيد جداً</v>
      </c>
      <c r="L5" s="11" t="str">
        <f>IF(G5&gt;=35,"ممتاز",IF(G5&gt;=31,"جيد جداً",IF(G5&gt;=26,"جيد",IF(G5&gt;=20,"مقبول","-"))))</f>
        <v>جيد جداً</v>
      </c>
    </row>
    <row r="6" spans="1:12" ht="31.5" x14ac:dyDescent="0.2">
      <c r="A6" s="4">
        <v>2</v>
      </c>
      <c r="B6" s="48" t="s">
        <v>258</v>
      </c>
      <c r="C6" s="52">
        <v>7.5</v>
      </c>
      <c r="D6" s="52">
        <v>6</v>
      </c>
      <c r="E6" s="52">
        <v>10</v>
      </c>
      <c r="F6" s="56">
        <v>5</v>
      </c>
      <c r="G6" s="9">
        <f t="shared" si="0"/>
        <v>28.5</v>
      </c>
      <c r="H6" s="10" t="str">
        <f t="shared" ref="H6:K31" si="1">IF(C6&gt;=8.6,"ممتاز",IF(C6&gt;=7.6,"جيد جداً",IF(C6&gt;=6.6,"جيد",IF(C6&gt;=5,"مقبول","يُعاد"))))</f>
        <v>جيد</v>
      </c>
      <c r="I6" s="10" t="str">
        <f t="shared" si="1"/>
        <v>مقبول</v>
      </c>
      <c r="J6" s="10" t="str">
        <f t="shared" si="1"/>
        <v>ممتاز</v>
      </c>
      <c r="K6" s="10" t="str">
        <f t="shared" si="1"/>
        <v>مقبول</v>
      </c>
      <c r="L6" s="11" t="str">
        <f t="shared" ref="L6:L37" si="2">IF(G6&gt;=35,"ممتاز",IF(G6&gt;=31,"جيد جداً",IF(G6&gt;=26,"جيد",IF(G6&gt;=20,"مقبول","-"))))</f>
        <v>جيد</v>
      </c>
    </row>
    <row r="7" spans="1:12" ht="31.5" x14ac:dyDescent="0.2">
      <c r="A7" s="4">
        <v>3</v>
      </c>
      <c r="B7" s="48" t="s">
        <v>259</v>
      </c>
      <c r="C7" s="52">
        <v>8</v>
      </c>
      <c r="D7" s="52">
        <v>10</v>
      </c>
      <c r="E7" s="52">
        <v>8</v>
      </c>
      <c r="F7" s="56">
        <v>9</v>
      </c>
      <c r="G7" s="9">
        <f t="shared" si="0"/>
        <v>35</v>
      </c>
      <c r="H7" s="10" t="str">
        <f t="shared" si="1"/>
        <v>جيد جداً</v>
      </c>
      <c r="I7" s="10" t="str">
        <f t="shared" si="1"/>
        <v>ممتاز</v>
      </c>
      <c r="J7" s="10" t="str">
        <f t="shared" si="1"/>
        <v>جيد جداً</v>
      </c>
      <c r="K7" s="10" t="str">
        <f t="shared" si="1"/>
        <v>ممتاز</v>
      </c>
      <c r="L7" s="11" t="str">
        <f t="shared" si="2"/>
        <v>ممتاز</v>
      </c>
    </row>
    <row r="8" spans="1:12" ht="31.5" x14ac:dyDescent="0.2">
      <c r="A8" s="4">
        <v>4</v>
      </c>
      <c r="B8" s="48" t="s">
        <v>260</v>
      </c>
      <c r="C8" s="52"/>
      <c r="D8" s="52"/>
      <c r="E8" s="52"/>
      <c r="F8" s="56"/>
      <c r="G8" s="9">
        <f t="shared" si="0"/>
        <v>0</v>
      </c>
      <c r="H8" s="10" t="str">
        <f t="shared" si="1"/>
        <v>يُعاد</v>
      </c>
      <c r="I8" s="10" t="str">
        <f t="shared" si="1"/>
        <v>يُعاد</v>
      </c>
      <c r="J8" s="10" t="str">
        <f t="shared" si="1"/>
        <v>يُعاد</v>
      </c>
      <c r="K8" s="10" t="str">
        <f t="shared" si="1"/>
        <v>يُعاد</v>
      </c>
      <c r="L8" s="11" t="str">
        <f t="shared" si="2"/>
        <v>-</v>
      </c>
    </row>
    <row r="9" spans="1:12" ht="31.5" x14ac:dyDescent="0.2">
      <c r="A9" s="4">
        <v>5</v>
      </c>
      <c r="B9" s="48" t="s">
        <v>261</v>
      </c>
      <c r="C9" s="52">
        <v>9.5</v>
      </c>
      <c r="D9" s="52">
        <v>10</v>
      </c>
      <c r="E9" s="52">
        <v>8</v>
      </c>
      <c r="F9" s="56">
        <v>1.5</v>
      </c>
      <c r="G9" s="9">
        <f t="shared" si="0"/>
        <v>29</v>
      </c>
      <c r="H9" s="10" t="str">
        <f t="shared" si="1"/>
        <v>ممتاز</v>
      </c>
      <c r="I9" s="10" t="str">
        <f t="shared" si="1"/>
        <v>ممتاز</v>
      </c>
      <c r="J9" s="10" t="str">
        <f t="shared" si="1"/>
        <v>جيد جداً</v>
      </c>
      <c r="K9" s="10" t="str">
        <f t="shared" si="1"/>
        <v>يُعاد</v>
      </c>
      <c r="L9" s="11" t="str">
        <f t="shared" si="2"/>
        <v>جيد</v>
      </c>
    </row>
    <row r="10" spans="1:12" ht="31.5" x14ac:dyDescent="0.2">
      <c r="A10" s="4">
        <v>6</v>
      </c>
      <c r="B10" s="48" t="s">
        <v>262</v>
      </c>
      <c r="C10" s="52"/>
      <c r="D10" s="52"/>
      <c r="E10" s="52"/>
      <c r="F10" s="56"/>
      <c r="G10" s="9">
        <f t="shared" si="0"/>
        <v>0</v>
      </c>
      <c r="H10" s="10" t="str">
        <f t="shared" si="1"/>
        <v>يُعاد</v>
      </c>
      <c r="I10" s="10" t="str">
        <f t="shared" si="1"/>
        <v>يُعاد</v>
      </c>
      <c r="J10" s="10" t="str">
        <f t="shared" si="1"/>
        <v>يُعاد</v>
      </c>
      <c r="K10" s="10" t="str">
        <f t="shared" si="1"/>
        <v>يُعاد</v>
      </c>
      <c r="L10" s="11" t="str">
        <f t="shared" si="2"/>
        <v>-</v>
      </c>
    </row>
    <row r="11" spans="1:12" ht="31.5" x14ac:dyDescent="0.2">
      <c r="A11" s="4">
        <v>7</v>
      </c>
      <c r="B11" s="48" t="s">
        <v>263</v>
      </c>
      <c r="C11" s="52">
        <v>4</v>
      </c>
      <c r="D11" s="52">
        <v>5</v>
      </c>
      <c r="E11" s="52">
        <v>9</v>
      </c>
      <c r="F11" s="56">
        <v>5</v>
      </c>
      <c r="G11" s="9">
        <f t="shared" si="0"/>
        <v>23</v>
      </c>
      <c r="H11" s="10" t="str">
        <f t="shared" si="1"/>
        <v>يُعاد</v>
      </c>
      <c r="I11" s="10" t="str">
        <f t="shared" si="1"/>
        <v>مقبول</v>
      </c>
      <c r="J11" s="10" t="str">
        <f t="shared" si="1"/>
        <v>ممتاز</v>
      </c>
      <c r="K11" s="10" t="str">
        <f t="shared" si="1"/>
        <v>مقبول</v>
      </c>
      <c r="L11" s="11" t="str">
        <f t="shared" si="2"/>
        <v>مقبول</v>
      </c>
    </row>
    <row r="12" spans="1:12" ht="31.5" x14ac:dyDescent="0.2">
      <c r="A12" s="4">
        <v>8</v>
      </c>
      <c r="B12" s="48" t="s">
        <v>264</v>
      </c>
      <c r="C12" s="52">
        <v>6.5</v>
      </c>
      <c r="D12" s="52">
        <v>9</v>
      </c>
      <c r="E12" s="52">
        <v>9</v>
      </c>
      <c r="F12" s="56">
        <v>8.5</v>
      </c>
      <c r="G12" s="9">
        <f t="shared" si="0"/>
        <v>33</v>
      </c>
      <c r="H12" s="10" t="str">
        <f t="shared" si="1"/>
        <v>مقبول</v>
      </c>
      <c r="I12" s="10" t="str">
        <f t="shared" si="1"/>
        <v>ممتاز</v>
      </c>
      <c r="J12" s="10" t="str">
        <f t="shared" si="1"/>
        <v>ممتاز</v>
      </c>
      <c r="K12" s="10" t="str">
        <f t="shared" si="1"/>
        <v>جيد جداً</v>
      </c>
      <c r="L12" s="11" t="str">
        <f t="shared" si="2"/>
        <v>جيد جداً</v>
      </c>
    </row>
    <row r="13" spans="1:12" ht="31.5" x14ac:dyDescent="0.2">
      <c r="A13" s="4">
        <v>9</v>
      </c>
      <c r="B13" s="48" t="s">
        <v>265</v>
      </c>
      <c r="C13" s="52">
        <v>8</v>
      </c>
      <c r="D13" s="52">
        <v>10</v>
      </c>
      <c r="E13" s="52">
        <v>9</v>
      </c>
      <c r="F13" s="56">
        <v>9</v>
      </c>
      <c r="G13" s="9">
        <f t="shared" si="0"/>
        <v>36</v>
      </c>
      <c r="H13" s="10" t="str">
        <f t="shared" si="1"/>
        <v>جيد جداً</v>
      </c>
      <c r="I13" s="10" t="str">
        <f t="shared" si="1"/>
        <v>ممتاز</v>
      </c>
      <c r="J13" s="10" t="str">
        <f t="shared" si="1"/>
        <v>ممتاز</v>
      </c>
      <c r="K13" s="10" t="str">
        <f t="shared" si="1"/>
        <v>ممتاز</v>
      </c>
      <c r="L13" s="11" t="str">
        <f t="shared" si="2"/>
        <v>ممتاز</v>
      </c>
    </row>
    <row r="14" spans="1:12" ht="31.5" x14ac:dyDescent="0.2">
      <c r="A14" s="4">
        <v>10</v>
      </c>
      <c r="B14" s="48" t="s">
        <v>266</v>
      </c>
      <c r="C14" s="52">
        <v>4</v>
      </c>
      <c r="D14" s="52">
        <v>5</v>
      </c>
      <c r="E14" s="52">
        <v>7</v>
      </c>
      <c r="F14" s="56">
        <v>8</v>
      </c>
      <c r="G14" s="9">
        <f t="shared" si="0"/>
        <v>24</v>
      </c>
      <c r="H14" s="10" t="str">
        <f t="shared" si="1"/>
        <v>يُعاد</v>
      </c>
      <c r="I14" s="10" t="str">
        <f t="shared" si="1"/>
        <v>مقبول</v>
      </c>
      <c r="J14" s="10" t="str">
        <f t="shared" si="1"/>
        <v>جيد</v>
      </c>
      <c r="K14" s="10" t="str">
        <f t="shared" si="1"/>
        <v>جيد جداً</v>
      </c>
      <c r="L14" s="11" t="str">
        <f t="shared" si="2"/>
        <v>مقبول</v>
      </c>
    </row>
    <row r="15" spans="1:12" ht="31.5" x14ac:dyDescent="0.2">
      <c r="A15" s="4">
        <v>11</v>
      </c>
      <c r="B15" s="48" t="s">
        <v>267</v>
      </c>
      <c r="C15" s="52"/>
      <c r="D15" s="52"/>
      <c r="E15" s="52"/>
      <c r="F15" s="56"/>
      <c r="G15" s="9">
        <f t="shared" si="0"/>
        <v>0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يُعاد</v>
      </c>
      <c r="L15" s="11" t="str">
        <f t="shared" si="2"/>
        <v>-</v>
      </c>
    </row>
    <row r="16" spans="1:12" ht="31.5" x14ac:dyDescent="0.2">
      <c r="A16" s="4">
        <v>12</v>
      </c>
      <c r="B16" s="48" t="s">
        <v>66</v>
      </c>
      <c r="C16" s="52">
        <v>5.5</v>
      </c>
      <c r="D16" s="52">
        <v>5</v>
      </c>
      <c r="E16" s="52">
        <v>9</v>
      </c>
      <c r="F16" s="56">
        <v>10</v>
      </c>
      <c r="G16" s="9">
        <f t="shared" si="0"/>
        <v>29.5</v>
      </c>
      <c r="H16" s="10" t="str">
        <f t="shared" si="1"/>
        <v>مقبول</v>
      </c>
      <c r="I16" s="10" t="str">
        <f t="shared" si="1"/>
        <v>مقبول</v>
      </c>
      <c r="J16" s="10" t="str">
        <f t="shared" si="1"/>
        <v>ممتاز</v>
      </c>
      <c r="K16" s="10" t="str">
        <f t="shared" si="1"/>
        <v>ممتاز</v>
      </c>
      <c r="L16" s="11" t="str">
        <f t="shared" si="2"/>
        <v>جيد</v>
      </c>
    </row>
    <row r="17" spans="1:12" ht="31.5" x14ac:dyDescent="0.2">
      <c r="A17" s="4">
        <v>13</v>
      </c>
      <c r="B17" s="48" t="s">
        <v>268</v>
      </c>
      <c r="C17" s="52">
        <v>7</v>
      </c>
      <c r="D17" s="52">
        <v>10</v>
      </c>
      <c r="E17" s="52">
        <v>9</v>
      </c>
      <c r="F17" s="56">
        <v>10</v>
      </c>
      <c r="G17" s="9">
        <f t="shared" si="0"/>
        <v>36</v>
      </c>
      <c r="H17" s="10" t="str">
        <f t="shared" si="1"/>
        <v>جيد</v>
      </c>
      <c r="I17" s="10" t="str">
        <f t="shared" si="1"/>
        <v>ممتاز</v>
      </c>
      <c r="J17" s="10" t="str">
        <f t="shared" si="1"/>
        <v>ممتاز</v>
      </c>
      <c r="K17" s="10" t="str">
        <f t="shared" si="1"/>
        <v>ممتاز</v>
      </c>
      <c r="L17" s="11" t="str">
        <f t="shared" si="2"/>
        <v>ممتاز</v>
      </c>
    </row>
    <row r="18" spans="1:12" ht="31.5" x14ac:dyDescent="0.2">
      <c r="A18" s="4">
        <v>14</v>
      </c>
      <c r="B18" s="48" t="s">
        <v>269</v>
      </c>
      <c r="C18" s="52"/>
      <c r="D18" s="52"/>
      <c r="E18" s="52"/>
      <c r="F18" s="56"/>
      <c r="G18" s="9">
        <f t="shared" si="0"/>
        <v>0</v>
      </c>
      <c r="H18" s="10" t="str">
        <f t="shared" si="1"/>
        <v>يُعاد</v>
      </c>
      <c r="I18" s="10" t="str">
        <f t="shared" si="1"/>
        <v>يُعاد</v>
      </c>
      <c r="J18" s="10" t="str">
        <f t="shared" si="1"/>
        <v>يُعاد</v>
      </c>
      <c r="K18" s="10" t="str">
        <f t="shared" si="1"/>
        <v>يُعاد</v>
      </c>
      <c r="L18" s="11" t="str">
        <f t="shared" si="2"/>
        <v>-</v>
      </c>
    </row>
    <row r="19" spans="1:12" ht="31.5" x14ac:dyDescent="0.2">
      <c r="A19" s="4">
        <v>15</v>
      </c>
      <c r="B19" s="48" t="s">
        <v>68</v>
      </c>
      <c r="C19" s="52">
        <v>4</v>
      </c>
      <c r="D19" s="52">
        <v>5</v>
      </c>
      <c r="E19" s="52">
        <v>7</v>
      </c>
      <c r="F19" s="56">
        <v>5</v>
      </c>
      <c r="G19" s="9">
        <f t="shared" si="0"/>
        <v>21</v>
      </c>
      <c r="H19" s="10" t="str">
        <f t="shared" si="1"/>
        <v>يُعاد</v>
      </c>
      <c r="I19" s="10" t="str">
        <f t="shared" si="1"/>
        <v>مقبول</v>
      </c>
      <c r="J19" s="10" t="str">
        <f t="shared" si="1"/>
        <v>جيد</v>
      </c>
      <c r="K19" s="10" t="str">
        <f t="shared" si="1"/>
        <v>مقبول</v>
      </c>
      <c r="L19" s="11" t="str">
        <f t="shared" si="2"/>
        <v>مقبول</v>
      </c>
    </row>
    <row r="20" spans="1:12" ht="31.5" x14ac:dyDescent="0.2">
      <c r="A20" s="4">
        <v>16</v>
      </c>
      <c r="B20" s="48" t="s">
        <v>270</v>
      </c>
      <c r="C20" s="52">
        <v>9</v>
      </c>
      <c r="D20" s="52">
        <v>8.5</v>
      </c>
      <c r="E20" s="52">
        <v>10</v>
      </c>
      <c r="F20" s="56">
        <v>10</v>
      </c>
      <c r="G20" s="9">
        <f t="shared" si="0"/>
        <v>37.5</v>
      </c>
      <c r="H20" s="10" t="str">
        <f t="shared" si="1"/>
        <v>ممتاز</v>
      </c>
      <c r="I20" s="10" t="str">
        <f t="shared" si="1"/>
        <v>جيد جداً</v>
      </c>
      <c r="J20" s="10" t="str">
        <f t="shared" si="1"/>
        <v>ممتاز</v>
      </c>
      <c r="K20" s="10" t="str">
        <f t="shared" si="1"/>
        <v>ممتاز</v>
      </c>
      <c r="L20" s="11" t="str">
        <f t="shared" si="2"/>
        <v>ممتاز</v>
      </c>
    </row>
    <row r="21" spans="1:12" ht="31.5" x14ac:dyDescent="0.2">
      <c r="A21" s="4">
        <v>17</v>
      </c>
      <c r="B21" s="48" t="s">
        <v>271</v>
      </c>
      <c r="C21" s="52">
        <v>7.5</v>
      </c>
      <c r="D21" s="52">
        <v>9</v>
      </c>
      <c r="E21" s="52">
        <v>7</v>
      </c>
      <c r="F21" s="56">
        <v>6.5</v>
      </c>
      <c r="G21" s="9">
        <f t="shared" si="0"/>
        <v>30</v>
      </c>
      <c r="H21" s="10" t="str">
        <f t="shared" si="1"/>
        <v>جيد</v>
      </c>
      <c r="I21" s="10" t="str">
        <f t="shared" si="1"/>
        <v>ممتاز</v>
      </c>
      <c r="J21" s="10" t="str">
        <f t="shared" si="1"/>
        <v>جيد</v>
      </c>
      <c r="K21" s="10" t="str">
        <f t="shared" si="1"/>
        <v>مقبول</v>
      </c>
      <c r="L21" s="11" t="str">
        <f t="shared" si="2"/>
        <v>جيد</v>
      </c>
    </row>
    <row r="22" spans="1:12" ht="31.5" x14ac:dyDescent="0.2">
      <c r="A22" s="4">
        <v>18</v>
      </c>
      <c r="B22" s="48" t="s">
        <v>272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273</v>
      </c>
      <c r="C23" s="52">
        <v>8</v>
      </c>
      <c r="D23" s="52">
        <v>10</v>
      </c>
      <c r="E23" s="52">
        <v>10</v>
      </c>
      <c r="F23" s="56">
        <v>10</v>
      </c>
      <c r="G23" s="9">
        <f t="shared" si="0"/>
        <v>38</v>
      </c>
      <c r="H23" s="10" t="str">
        <f t="shared" si="1"/>
        <v>جيد جداً</v>
      </c>
      <c r="I23" s="10" t="str">
        <f t="shared" si="1"/>
        <v>ممتاز</v>
      </c>
      <c r="J23" s="10" t="str">
        <f t="shared" si="1"/>
        <v>ممتاز</v>
      </c>
      <c r="K23" s="10" t="str">
        <f t="shared" si="1"/>
        <v>ممتاز</v>
      </c>
      <c r="L23" s="11" t="str">
        <f t="shared" si="2"/>
        <v>ممتاز</v>
      </c>
    </row>
    <row r="24" spans="1:12" ht="31.5" x14ac:dyDescent="0.2">
      <c r="A24" s="4">
        <v>20</v>
      </c>
      <c r="B24" s="48" t="s">
        <v>274</v>
      </c>
      <c r="C24" s="52">
        <v>7.5</v>
      </c>
      <c r="D24" s="52">
        <v>10</v>
      </c>
      <c r="E24" s="52">
        <v>8</v>
      </c>
      <c r="F24" s="56">
        <v>8</v>
      </c>
      <c r="G24" s="9">
        <f t="shared" si="0"/>
        <v>33.5</v>
      </c>
      <c r="H24" s="10" t="str">
        <f t="shared" si="1"/>
        <v>جيد</v>
      </c>
      <c r="I24" s="10" t="str">
        <f t="shared" si="1"/>
        <v>ممتاز</v>
      </c>
      <c r="J24" s="10" t="str">
        <f t="shared" si="1"/>
        <v>جيد جداً</v>
      </c>
      <c r="K24" s="10" t="str">
        <f t="shared" si="1"/>
        <v>جيد جداً</v>
      </c>
      <c r="L24" s="11" t="str">
        <f t="shared" si="2"/>
        <v>جيد جداً</v>
      </c>
    </row>
    <row r="25" spans="1:12" ht="31.5" x14ac:dyDescent="0.2">
      <c r="A25" s="4">
        <v>21</v>
      </c>
      <c r="B25" s="48" t="s">
        <v>275</v>
      </c>
      <c r="C25" s="52">
        <v>5.5</v>
      </c>
      <c r="D25" s="52">
        <v>9</v>
      </c>
      <c r="E25" s="52">
        <v>8</v>
      </c>
      <c r="F25" s="56">
        <v>6</v>
      </c>
      <c r="G25" s="9">
        <f t="shared" si="0"/>
        <v>28.5</v>
      </c>
      <c r="H25" s="10" t="str">
        <f t="shared" si="1"/>
        <v>مقبول</v>
      </c>
      <c r="I25" s="10" t="str">
        <f t="shared" si="1"/>
        <v>ممتاز</v>
      </c>
      <c r="J25" s="10" t="str">
        <f t="shared" si="1"/>
        <v>جيد جداً</v>
      </c>
      <c r="K25" s="10" t="str">
        <f t="shared" si="1"/>
        <v>مقبول</v>
      </c>
      <c r="L25" s="11" t="str">
        <f t="shared" si="2"/>
        <v>جيد</v>
      </c>
    </row>
    <row r="26" spans="1:12" ht="31.5" x14ac:dyDescent="0.2">
      <c r="A26" s="4">
        <v>22</v>
      </c>
      <c r="B26" s="48" t="s">
        <v>276</v>
      </c>
      <c r="C26" s="52"/>
      <c r="D26" s="52"/>
      <c r="E26" s="52"/>
      <c r="F26" s="56"/>
      <c r="G26" s="9">
        <f t="shared" si="0"/>
        <v>0</v>
      </c>
      <c r="H26" s="10" t="str">
        <f t="shared" si="1"/>
        <v>يُعاد</v>
      </c>
      <c r="I26" s="10" t="str">
        <f t="shared" si="1"/>
        <v>يُعاد</v>
      </c>
      <c r="J26" s="10" t="str">
        <f t="shared" si="1"/>
        <v>يُعاد</v>
      </c>
      <c r="K26" s="10" t="str">
        <f t="shared" si="1"/>
        <v>يُعاد</v>
      </c>
      <c r="L26" s="11" t="str">
        <f t="shared" si="2"/>
        <v>-</v>
      </c>
    </row>
    <row r="27" spans="1:12" ht="31.5" x14ac:dyDescent="0.2">
      <c r="A27" s="4">
        <v>23</v>
      </c>
      <c r="B27" s="48" t="s">
        <v>277</v>
      </c>
      <c r="C27" s="52">
        <v>8</v>
      </c>
      <c r="D27" s="52">
        <v>10</v>
      </c>
      <c r="E27" s="52">
        <v>6</v>
      </c>
      <c r="F27" s="56">
        <v>5</v>
      </c>
      <c r="G27" s="9">
        <f t="shared" si="0"/>
        <v>29</v>
      </c>
      <c r="H27" s="10" t="str">
        <f t="shared" si="1"/>
        <v>جيد جداً</v>
      </c>
      <c r="I27" s="10" t="str">
        <f t="shared" si="1"/>
        <v>ممتاز</v>
      </c>
      <c r="J27" s="10" t="str">
        <f t="shared" si="1"/>
        <v>مقبول</v>
      </c>
      <c r="K27" s="10" t="str">
        <f t="shared" si="1"/>
        <v>مقبول</v>
      </c>
      <c r="L27" s="11" t="str">
        <f t="shared" si="2"/>
        <v>جيد</v>
      </c>
    </row>
    <row r="28" spans="1:12" ht="31.5" x14ac:dyDescent="0.2">
      <c r="A28" s="4">
        <v>24</v>
      </c>
      <c r="B28" s="48" t="s">
        <v>278</v>
      </c>
      <c r="C28" s="52">
        <v>5.5</v>
      </c>
      <c r="D28" s="52">
        <v>7</v>
      </c>
      <c r="E28" s="52">
        <v>6</v>
      </c>
      <c r="F28" s="56">
        <v>5</v>
      </c>
      <c r="G28" s="9">
        <f t="shared" si="0"/>
        <v>23.5</v>
      </c>
      <c r="H28" s="10" t="str">
        <f t="shared" si="1"/>
        <v>مقبول</v>
      </c>
      <c r="I28" s="10" t="str">
        <f t="shared" si="1"/>
        <v>جيد</v>
      </c>
      <c r="J28" s="10" t="str">
        <f t="shared" si="1"/>
        <v>مقبول</v>
      </c>
      <c r="K28" s="10" t="str">
        <f t="shared" si="1"/>
        <v>مقبول</v>
      </c>
      <c r="L28" s="11" t="str">
        <f t="shared" si="2"/>
        <v>مقبول</v>
      </c>
    </row>
    <row r="29" spans="1:12" ht="31.5" x14ac:dyDescent="0.2">
      <c r="A29" s="4">
        <v>25</v>
      </c>
      <c r="B29" s="48" t="s">
        <v>279</v>
      </c>
      <c r="C29" s="52"/>
      <c r="D29" s="52"/>
      <c r="E29" s="52"/>
      <c r="F29" s="56"/>
      <c r="G29" s="9">
        <f t="shared" si="0"/>
        <v>0</v>
      </c>
      <c r="H29" s="10" t="str">
        <f t="shared" si="1"/>
        <v>يُعاد</v>
      </c>
      <c r="I29" s="10" t="str">
        <f t="shared" si="1"/>
        <v>يُعاد</v>
      </c>
      <c r="J29" s="10" t="str">
        <f t="shared" si="1"/>
        <v>يُعاد</v>
      </c>
      <c r="K29" s="10" t="str">
        <f t="shared" si="1"/>
        <v>يُعاد</v>
      </c>
      <c r="L29" s="11" t="str">
        <f t="shared" si="2"/>
        <v>-</v>
      </c>
    </row>
    <row r="30" spans="1:12" ht="31.5" x14ac:dyDescent="0.2">
      <c r="A30" s="4">
        <v>26</v>
      </c>
      <c r="B30" s="48" t="s">
        <v>280</v>
      </c>
      <c r="C30" s="52"/>
      <c r="D30" s="52"/>
      <c r="E30" s="52"/>
      <c r="F30" s="56"/>
      <c r="G30" s="9">
        <f t="shared" si="0"/>
        <v>0</v>
      </c>
      <c r="H30" s="10" t="str">
        <f t="shared" si="1"/>
        <v>يُعاد</v>
      </c>
      <c r="I30" s="10" t="str">
        <f t="shared" si="1"/>
        <v>يُعاد</v>
      </c>
      <c r="J30" s="10" t="str">
        <f t="shared" si="1"/>
        <v>يُعاد</v>
      </c>
      <c r="K30" s="10" t="str">
        <f t="shared" si="1"/>
        <v>يُعاد</v>
      </c>
      <c r="L30" s="11" t="str">
        <f t="shared" si="2"/>
        <v>-</v>
      </c>
    </row>
    <row r="31" spans="1:12" ht="31.5" x14ac:dyDescent="0.2">
      <c r="A31" s="4">
        <v>27</v>
      </c>
      <c r="B31" s="48" t="s">
        <v>281</v>
      </c>
      <c r="C31" s="52">
        <v>7.5</v>
      </c>
      <c r="D31" s="52">
        <v>9</v>
      </c>
      <c r="E31" s="52">
        <v>9</v>
      </c>
      <c r="F31" s="56">
        <v>10</v>
      </c>
      <c r="G31" s="9">
        <f t="shared" si="0"/>
        <v>35.5</v>
      </c>
      <c r="H31" s="10" t="str">
        <f t="shared" si="1"/>
        <v>جيد</v>
      </c>
      <c r="I31" s="10" t="str">
        <f t="shared" si="1"/>
        <v>ممتاز</v>
      </c>
      <c r="J31" s="10" t="str">
        <f t="shared" si="1"/>
        <v>ممتاز</v>
      </c>
      <c r="K31" s="10" t="str">
        <f t="shared" si="1"/>
        <v>ممتاز</v>
      </c>
      <c r="L31" s="11" t="str">
        <f t="shared" si="2"/>
        <v>ممتاز</v>
      </c>
    </row>
    <row r="32" spans="1:12" ht="31.5" x14ac:dyDescent="0.2">
      <c r="A32" s="4">
        <v>28</v>
      </c>
      <c r="B32" s="48" t="s">
        <v>67</v>
      </c>
      <c r="C32" s="52">
        <v>3.5</v>
      </c>
      <c r="D32" s="52">
        <v>9</v>
      </c>
      <c r="E32" s="52">
        <v>8</v>
      </c>
      <c r="F32" s="56">
        <v>10</v>
      </c>
      <c r="G32" s="9">
        <f t="shared" si="0"/>
        <v>30.5</v>
      </c>
      <c r="H32" s="10" t="str">
        <f t="shared" ref="H32:K37" si="3">IF(C32&gt;=8.6,"ممتاز",IF(C32&gt;=7.6,"جيد جداً",IF(C32&gt;=6.6,"جيد",IF(C32&gt;=5,"مقبول","يُعاد"))))</f>
        <v>يُعاد</v>
      </c>
      <c r="I32" s="10" t="str">
        <f t="shared" si="3"/>
        <v>ممتاز</v>
      </c>
      <c r="J32" s="10" t="str">
        <f t="shared" si="3"/>
        <v>جيد جداً</v>
      </c>
      <c r="K32" s="10" t="str">
        <f t="shared" si="3"/>
        <v>ممتاز</v>
      </c>
      <c r="L32" s="11" t="str">
        <f t="shared" si="2"/>
        <v>جيد</v>
      </c>
    </row>
    <row r="33" spans="1:12" ht="31.5" x14ac:dyDescent="0.2">
      <c r="A33" s="4">
        <v>29</v>
      </c>
      <c r="B33" s="48" t="s">
        <v>70</v>
      </c>
      <c r="C33" s="52">
        <v>7.5</v>
      </c>
      <c r="D33" s="52">
        <v>9</v>
      </c>
      <c r="E33" s="52">
        <v>9</v>
      </c>
      <c r="F33" s="56">
        <v>10</v>
      </c>
      <c r="G33" s="9">
        <f t="shared" si="0"/>
        <v>35.5</v>
      </c>
      <c r="H33" s="10" t="str">
        <f t="shared" si="3"/>
        <v>جيد</v>
      </c>
      <c r="I33" s="10" t="str">
        <f t="shared" si="3"/>
        <v>ممتاز</v>
      </c>
      <c r="J33" s="10" t="str">
        <f t="shared" si="3"/>
        <v>ممتاز</v>
      </c>
      <c r="K33" s="10" t="str">
        <f t="shared" si="3"/>
        <v>ممتاز</v>
      </c>
      <c r="L33" s="11" t="str">
        <f t="shared" si="2"/>
        <v>ممتاز</v>
      </c>
    </row>
    <row r="34" spans="1:12" ht="31.5" x14ac:dyDescent="0.2">
      <c r="A34" s="4">
        <v>30</v>
      </c>
      <c r="B34" s="48" t="s">
        <v>282</v>
      </c>
      <c r="C34" s="52">
        <v>5.5</v>
      </c>
      <c r="D34" s="52">
        <v>5</v>
      </c>
      <c r="E34" s="52">
        <v>7</v>
      </c>
      <c r="F34" s="56">
        <v>0</v>
      </c>
      <c r="G34" s="9">
        <f t="shared" si="0"/>
        <v>17.5</v>
      </c>
      <c r="H34" s="10" t="str">
        <f t="shared" si="3"/>
        <v>مقبول</v>
      </c>
      <c r="I34" s="10" t="str">
        <f t="shared" si="3"/>
        <v>مقبول</v>
      </c>
      <c r="J34" s="10" t="str">
        <f t="shared" si="3"/>
        <v>جيد</v>
      </c>
      <c r="K34" s="10" t="str">
        <f t="shared" si="3"/>
        <v>يُعاد</v>
      </c>
      <c r="L34" s="11" t="str">
        <f t="shared" si="2"/>
        <v>-</v>
      </c>
    </row>
    <row r="35" spans="1:12" ht="31.5" x14ac:dyDescent="0.2">
      <c r="A35" s="4">
        <v>31</v>
      </c>
      <c r="B35" s="48" t="s">
        <v>283</v>
      </c>
      <c r="C35" s="52">
        <v>7</v>
      </c>
      <c r="D35" s="52">
        <v>9</v>
      </c>
      <c r="E35" s="52">
        <v>10</v>
      </c>
      <c r="F35" s="56">
        <v>10</v>
      </c>
      <c r="G35" s="9">
        <f t="shared" si="0"/>
        <v>36</v>
      </c>
      <c r="H35" s="10" t="str">
        <f t="shared" si="3"/>
        <v>جيد</v>
      </c>
      <c r="I35" s="10" t="str">
        <f t="shared" si="3"/>
        <v>ممتاز</v>
      </c>
      <c r="J35" s="10" t="str">
        <f t="shared" si="3"/>
        <v>ممتاز</v>
      </c>
      <c r="K35" s="10" t="str">
        <f t="shared" si="3"/>
        <v>ممتاز</v>
      </c>
      <c r="L35" s="11" t="str">
        <f t="shared" si="2"/>
        <v>ممتاز</v>
      </c>
    </row>
    <row r="36" spans="1:12" ht="31.5" x14ac:dyDescent="0.2">
      <c r="A36" s="4">
        <v>32</v>
      </c>
      <c r="B36" s="48" t="s">
        <v>69</v>
      </c>
      <c r="C36" s="52"/>
      <c r="D36" s="52"/>
      <c r="E36" s="52"/>
      <c r="F36" s="56"/>
      <c r="G36" s="9">
        <f t="shared" si="0"/>
        <v>0</v>
      </c>
      <c r="H36" s="10" t="str">
        <f t="shared" si="3"/>
        <v>يُعاد</v>
      </c>
      <c r="I36" s="10" t="str">
        <f t="shared" si="3"/>
        <v>يُعاد</v>
      </c>
      <c r="J36" s="10" t="str">
        <f t="shared" si="3"/>
        <v>يُعاد</v>
      </c>
      <c r="K36" s="10" t="str">
        <f t="shared" si="3"/>
        <v>يُعاد</v>
      </c>
      <c r="L36" s="11" t="str">
        <f t="shared" si="2"/>
        <v>-</v>
      </c>
    </row>
    <row r="37" spans="1:12" ht="32.25" thickBot="1" x14ac:dyDescent="0.25">
      <c r="A37" s="4">
        <v>33</v>
      </c>
      <c r="B37" s="60" t="s">
        <v>71</v>
      </c>
      <c r="C37" s="61"/>
      <c r="D37" s="61"/>
      <c r="E37" s="61"/>
      <c r="F37" s="62"/>
      <c r="G37" s="9">
        <f t="shared" si="0"/>
        <v>0</v>
      </c>
      <c r="H37" s="10" t="str">
        <f t="shared" si="3"/>
        <v>يُعاد</v>
      </c>
      <c r="I37" s="10" t="str">
        <f t="shared" si="3"/>
        <v>يُعاد</v>
      </c>
      <c r="J37" s="10" t="str">
        <f t="shared" si="3"/>
        <v>يُعاد</v>
      </c>
      <c r="K37" s="10" t="str">
        <f t="shared" si="3"/>
        <v>يُعاد</v>
      </c>
      <c r="L37" s="11" t="str">
        <f t="shared" si="2"/>
        <v>-</v>
      </c>
    </row>
    <row r="38" spans="1:12" ht="14.25" x14ac:dyDescent="0.2">
      <c r="B38"/>
      <c r="C38"/>
      <c r="D38"/>
      <c r="E38"/>
      <c r="F38"/>
    </row>
    <row r="39" spans="1:12" ht="14.25" x14ac:dyDescent="0.2">
      <c r="B39"/>
      <c r="C39"/>
      <c r="D39"/>
      <c r="E39"/>
      <c r="F39"/>
    </row>
    <row r="40" spans="1:12" x14ac:dyDescent="0.4">
      <c r="A40" s="49"/>
    </row>
    <row r="41" spans="1:12" x14ac:dyDescent="0.4">
      <c r="A41" s="49"/>
    </row>
    <row r="42" spans="1:12" x14ac:dyDescent="0.4">
      <c r="A42" s="49"/>
    </row>
    <row r="43" spans="1:12" x14ac:dyDescent="0.4">
      <c r="A43" s="49"/>
    </row>
    <row r="44" spans="1:12" x14ac:dyDescent="0.4">
      <c r="A44" s="49"/>
    </row>
    <row r="45" spans="1:12" x14ac:dyDescent="0.4">
      <c r="A45" s="49"/>
    </row>
    <row r="46" spans="1:12" x14ac:dyDescent="0.4">
      <c r="A46" s="49"/>
    </row>
    <row r="47" spans="1:12" x14ac:dyDescent="0.4">
      <c r="A47" s="49"/>
    </row>
    <row r="48" spans="1:12" x14ac:dyDescent="0.4">
      <c r="A48" s="49"/>
    </row>
    <row r="49" spans="1:1" x14ac:dyDescent="0.4">
      <c r="A49" s="49"/>
    </row>
    <row r="50" spans="1:1" x14ac:dyDescent="0.4">
      <c r="A50" s="49"/>
    </row>
    <row r="51" spans="1:1" x14ac:dyDescent="0.4">
      <c r="A51" s="49"/>
    </row>
    <row r="52" spans="1:1" x14ac:dyDescent="0.4">
      <c r="A52" s="49"/>
    </row>
    <row r="53" spans="1:1" x14ac:dyDescent="0.4">
      <c r="A53" s="49"/>
    </row>
    <row r="54" spans="1:1" x14ac:dyDescent="0.4">
      <c r="A54" s="49"/>
    </row>
    <row r="55" spans="1:1" x14ac:dyDescent="0.4">
      <c r="A55" s="49"/>
    </row>
    <row r="56" spans="1:1" x14ac:dyDescent="0.4">
      <c r="A56" s="49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rightToLeft="1" topLeftCell="C1" zoomScale="30" zoomScaleNormal="30" workbookViewId="0">
      <selection activeCell="J5" sqref="J5:J106"/>
    </sheetView>
  </sheetViews>
  <sheetFormatPr defaultRowHeight="90" x14ac:dyDescent="1.1499999999999999"/>
  <cols>
    <col min="2" max="2" width="99.5" style="67" customWidth="1"/>
    <col min="3" max="3" width="49.25" style="67" customWidth="1"/>
    <col min="4" max="4" width="60.625" style="67" customWidth="1"/>
    <col min="5" max="5" width="46.25" style="67" customWidth="1"/>
    <col min="6" max="6" width="60.625" style="67" customWidth="1"/>
    <col min="7" max="7" width="70.125" style="67" customWidth="1"/>
    <col min="8" max="8" width="56.875" style="67" customWidth="1"/>
    <col min="9" max="9" width="64" style="67" customWidth="1"/>
    <col min="10" max="10" width="85.625" style="67" customWidth="1"/>
  </cols>
  <sheetData>
    <row r="1" spans="1:10" x14ac:dyDescent="1.1499999999999999">
      <c r="D1" s="67" t="s">
        <v>407</v>
      </c>
    </row>
    <row r="2" spans="1:10" ht="90.75" thickBot="1" x14ac:dyDescent="1.2"/>
    <row r="3" spans="1:10" ht="93" thickBot="1" x14ac:dyDescent="0.25">
      <c r="A3" s="40" t="s">
        <v>0</v>
      </c>
      <c r="B3" s="63" t="s">
        <v>1</v>
      </c>
      <c r="C3" s="65" t="s">
        <v>2</v>
      </c>
      <c r="D3" s="65" t="s">
        <v>3</v>
      </c>
      <c r="E3" s="65" t="s">
        <v>378</v>
      </c>
      <c r="F3" s="68" t="s">
        <v>379</v>
      </c>
      <c r="G3" s="69" t="s">
        <v>2</v>
      </c>
      <c r="H3" s="70" t="s">
        <v>398</v>
      </c>
      <c r="I3" s="70" t="s">
        <v>378</v>
      </c>
      <c r="J3" s="71" t="s">
        <v>380</v>
      </c>
    </row>
    <row r="4" spans="1:10" ht="19.5" customHeight="1" thickBot="1" x14ac:dyDescent="0.25">
      <c r="A4" s="41"/>
      <c r="B4" s="63"/>
      <c r="C4" s="65" t="s">
        <v>382</v>
      </c>
      <c r="D4" s="65" t="s">
        <v>382</v>
      </c>
      <c r="E4" s="65" t="s">
        <v>382</v>
      </c>
      <c r="F4" s="72"/>
      <c r="G4" s="69" t="s">
        <v>381</v>
      </c>
      <c r="H4" s="70" t="s">
        <v>381</v>
      </c>
      <c r="I4" s="70" t="s">
        <v>381</v>
      </c>
      <c r="J4" s="73"/>
    </row>
    <row r="5" spans="1:10" ht="92.25" x14ac:dyDescent="0.2">
      <c r="A5" s="4">
        <v>1</v>
      </c>
      <c r="B5" s="64" t="s">
        <v>284</v>
      </c>
      <c r="C5" s="66">
        <v>6.5</v>
      </c>
      <c r="D5" s="66">
        <v>4.5</v>
      </c>
      <c r="E5" s="66">
        <v>4.9000000000000004</v>
      </c>
      <c r="F5" s="74">
        <f>SUM(C5:E5)</f>
        <v>15.9</v>
      </c>
      <c r="G5" s="75" t="str">
        <f>IF(C5&gt;=8.6,"ممتاز",IF(C5&gt;=7.5,"جيد جداً",IF(C5&gt;=6.5,"جيد",IF(C5&gt;=5,"مقبول","يُعاد"))))</f>
        <v>جيد</v>
      </c>
      <c r="H5" s="75" t="str">
        <f>IF(D5&gt;=8.6,"ممتاز",IF(D5&gt;=7.6,"جيد جداً",IF(D5&gt;=6.6,"جيد",IF(D5&gt;=5,"مقبول","يُعاد"))))</f>
        <v>يُعاد</v>
      </c>
      <c r="I5" s="75" t="str">
        <f>IF(E5&gt;=8.6,"ممتاز",IF(E5&gt;=7.6,"جيد جداً",IF(E5&gt;=6.6,"جيد",IF(E5&gt;=5,"مقبول","يُعاد"))))</f>
        <v>يُعاد</v>
      </c>
      <c r="J5" s="76" t="str">
        <f>IF(F5&gt;=25,"ممتاز",IF(F5&gt;=20,"جيد جداً",IF(F5&gt;=17,"جيد",IF(F5&gt;=15,"مقبول","راسب"))))</f>
        <v>مقبول</v>
      </c>
    </row>
    <row r="6" spans="1:10" ht="92.25" x14ac:dyDescent="0.2">
      <c r="A6" s="4">
        <v>2</v>
      </c>
      <c r="B6" s="64" t="s">
        <v>285</v>
      </c>
      <c r="C6" s="66"/>
      <c r="D6" s="66"/>
      <c r="E6" s="66"/>
      <c r="F6" s="74">
        <f>SUM(C6:E6)</f>
        <v>0</v>
      </c>
      <c r="G6" s="75" t="str">
        <f>IF(C6&gt;=8.6,"ممتاز",IF(C6&gt;=7.6,"جيد جداً",IF(C6&gt;=6.6,"جيد",IF(C6&gt;=5,"مقبول","يُعاد"))))</f>
        <v>يُعاد</v>
      </c>
      <c r="H6" s="75" t="str">
        <f>IF(D6&gt;=8.6,"ممتاز",IF(D6&gt;=7.6,"جيد جداً",IF(D6&gt;=6.6,"جيد",IF(D6&gt;=5,"مقبول","يُعاد"))))</f>
        <v>يُعاد</v>
      </c>
      <c r="I6" s="75" t="str">
        <f>IF(E6&gt;=8.6,"ممتاز",IF(E6&gt;=7.6,"جيد جداً",IF(E6&gt;=6.6,"جيد",IF(E6&gt;=5,"مقبول","يُعاد"))))</f>
        <v>يُعاد</v>
      </c>
      <c r="J6" s="76" t="str">
        <f t="shared" ref="J6:J69" si="0">IF(F6&gt;=25,"ممتاز",IF(F6&gt;=20,"جيد جداً",IF(F6&gt;=17,"جيد",IF(F6&gt;=15,"مقبول","راسب"))))</f>
        <v>راسب</v>
      </c>
    </row>
    <row r="7" spans="1:10" ht="92.25" x14ac:dyDescent="0.2">
      <c r="A7" s="4">
        <v>3</v>
      </c>
      <c r="B7" s="64" t="s">
        <v>286</v>
      </c>
      <c r="C7" s="66"/>
      <c r="D7" s="66"/>
      <c r="E7" s="66"/>
      <c r="F7" s="74">
        <f>SUM(C7:E7)</f>
        <v>0</v>
      </c>
      <c r="G7" s="75" t="str">
        <f>IF(C7&gt;=8.6,"ممتاز",IF(C7&gt;=7.6,"جيد جداً",IF(C7&gt;=6.6,"جيد",IF(C7&gt;=5,"مقبول","يُعاد"))))</f>
        <v>يُعاد</v>
      </c>
      <c r="H7" s="75" t="str">
        <f>IF(D7&gt;=8.6,"ممتاز",IF(D7&gt;=7.6,"جيد جداً",IF(D7&gt;=6.6,"جيد",IF(D7&gt;=5,"مقبول","يُعاد"))))</f>
        <v>يُعاد</v>
      </c>
      <c r="I7" s="75" t="str">
        <f>IF(E7&gt;=8.6,"ممتاز",IF(E7&gt;=7.6,"جيد جداً",IF(E7&gt;=6.6,"جيد",IF(E7&gt;=5,"مقبول","يُعاد"))))</f>
        <v>يُعاد</v>
      </c>
      <c r="J7" s="76" t="str">
        <f t="shared" si="0"/>
        <v>راسب</v>
      </c>
    </row>
    <row r="8" spans="1:10" ht="92.25" x14ac:dyDescent="0.2">
      <c r="A8" s="4">
        <v>4</v>
      </c>
      <c r="B8" s="64" t="s">
        <v>287</v>
      </c>
      <c r="C8" s="66">
        <v>10</v>
      </c>
      <c r="D8" s="66">
        <v>10</v>
      </c>
      <c r="E8" s="66">
        <v>10</v>
      </c>
      <c r="F8" s="74">
        <f>SUM(C8:E8)</f>
        <v>30</v>
      </c>
      <c r="G8" s="75" t="str">
        <f>IF(C8&gt;=8.6,"ممتاز",IF(C8&gt;=7.6,"جيد جداً",IF(C8&gt;=6.6,"جيد",IF(C8&gt;=5,"مقبول","يُعاد"))))</f>
        <v>ممتاز</v>
      </c>
      <c r="H8" s="75" t="str">
        <f>IF(D8&gt;=8.6,"ممتاز",IF(D8&gt;=7.6,"جيد جداً",IF(D8&gt;=6.6,"جيد",IF(D8&gt;=5,"مقبول","يُعاد"))))</f>
        <v>ممتاز</v>
      </c>
      <c r="I8" s="75" t="str">
        <f>IF(E8&gt;=8.6,"ممتاز",IF(E8&gt;=7.6,"جيد جداً",IF(E8&gt;=6.6,"جيد",IF(E8&gt;=5,"مقبول","يُعاد"))))</f>
        <v>ممتاز</v>
      </c>
      <c r="J8" s="76" t="str">
        <f t="shared" si="0"/>
        <v>ممتاز</v>
      </c>
    </row>
    <row r="9" spans="1:10" ht="92.25" x14ac:dyDescent="0.2">
      <c r="A9" s="4">
        <v>5</v>
      </c>
      <c r="B9" s="64" t="s">
        <v>288</v>
      </c>
      <c r="C9" s="66">
        <v>10</v>
      </c>
      <c r="D9" s="66">
        <v>8</v>
      </c>
      <c r="E9" s="66">
        <v>10</v>
      </c>
      <c r="F9" s="74">
        <f>SUM(C9:E9)</f>
        <v>28</v>
      </c>
      <c r="G9" s="75" t="str">
        <f>IF(C9&gt;=8.6,"ممتاز",IF(C9&gt;=7.6,"جيد جداً",IF(C9&gt;=6.6,"جيد",IF(C9&gt;=5,"مقبول","يُعاد"))))</f>
        <v>ممتاز</v>
      </c>
      <c r="H9" s="75" t="str">
        <f>IF(D9&gt;=8.6,"ممتاز",IF(D9&gt;=7.6,"جيد جداً",IF(D9&gt;=6.6,"جيد",IF(D9&gt;=5,"مقبول","يُعاد"))))</f>
        <v>جيد جداً</v>
      </c>
      <c r="I9" s="75" t="str">
        <f>IF(E9&gt;=8.6,"ممتاز",IF(E9&gt;=7.6,"جيد جداً",IF(E9&gt;=6.6,"جيد",IF(E9&gt;=5,"مقبول","يُعاد"))))</f>
        <v>ممتاز</v>
      </c>
      <c r="J9" s="76" t="str">
        <f t="shared" si="0"/>
        <v>ممتاز</v>
      </c>
    </row>
    <row r="10" spans="1:10" ht="92.25" x14ac:dyDescent="0.2">
      <c r="A10" s="4">
        <v>6</v>
      </c>
      <c r="B10" s="64" t="s">
        <v>289</v>
      </c>
      <c r="C10" s="66">
        <v>7</v>
      </c>
      <c r="D10" s="66">
        <v>6.5</v>
      </c>
      <c r="E10" s="66">
        <v>9.6</v>
      </c>
      <c r="F10" s="74">
        <f>SUM(C10:E10)</f>
        <v>23.1</v>
      </c>
      <c r="G10" s="75" t="str">
        <f>IF(C10&gt;=8.6,"ممتاز",IF(C10&gt;=7.6,"جيد جداً",IF(C10&gt;=6.6,"جيد",IF(C10&gt;=5,"مقبول","يُعاد"))))</f>
        <v>جيد</v>
      </c>
      <c r="H10" s="75" t="str">
        <f>IF(D10&gt;=8.6,"ممتاز",IF(D10&gt;=7.6,"جيد جداً",IF(D10&gt;=6.6,"جيد",IF(D10&gt;=5,"مقبول","يُعاد"))))</f>
        <v>مقبول</v>
      </c>
      <c r="I10" s="75" t="str">
        <f>IF(E10&gt;=8.6,"ممتاز",IF(E10&gt;=7.6,"جيد جداً",IF(E10&gt;=6.6,"جيد",IF(E10&gt;=5,"مقبول","يُعاد"))))</f>
        <v>ممتاز</v>
      </c>
      <c r="J10" s="76" t="str">
        <f t="shared" si="0"/>
        <v>جيد جداً</v>
      </c>
    </row>
    <row r="11" spans="1:10" ht="92.25" x14ac:dyDescent="0.2">
      <c r="A11" s="4">
        <v>7</v>
      </c>
      <c r="B11" s="64" t="s">
        <v>290</v>
      </c>
      <c r="C11" s="66">
        <v>9.5</v>
      </c>
      <c r="D11" s="66">
        <v>9.5</v>
      </c>
      <c r="E11" s="66"/>
      <c r="F11" s="74">
        <f>SUM(C11:E11)</f>
        <v>19</v>
      </c>
      <c r="G11" s="75" t="str">
        <f>IF(C11&gt;=8.6,"ممتاز",IF(C11&gt;=7.6,"جيد جداً",IF(C11&gt;=6.6,"جيد",IF(C11&gt;=5,"مقبول","يُعاد"))))</f>
        <v>ممتاز</v>
      </c>
      <c r="H11" s="75" t="str">
        <f>IF(D11&gt;=8.6,"ممتاز",IF(D11&gt;=7.6,"جيد جداً",IF(D11&gt;=6.6,"جيد",IF(D11&gt;=5,"مقبول","يُعاد"))))</f>
        <v>ممتاز</v>
      </c>
      <c r="I11" s="75" t="str">
        <f>IF(E11&gt;=8.6,"ممتاز",IF(E11&gt;=7.6,"جيد جداً",IF(E11&gt;=6.6,"جيد",IF(E11&gt;=5,"مقبول","يُعاد"))))</f>
        <v>يُعاد</v>
      </c>
      <c r="J11" s="76" t="str">
        <f t="shared" si="0"/>
        <v>جيد</v>
      </c>
    </row>
    <row r="12" spans="1:10" ht="92.25" x14ac:dyDescent="0.2">
      <c r="A12" s="4">
        <v>8</v>
      </c>
      <c r="B12" s="64" t="s">
        <v>291</v>
      </c>
      <c r="C12" s="66">
        <v>10</v>
      </c>
      <c r="D12" s="66">
        <v>6</v>
      </c>
      <c r="E12" s="66">
        <v>10</v>
      </c>
      <c r="F12" s="74">
        <f>SUM(C12:E12)</f>
        <v>26</v>
      </c>
      <c r="G12" s="75" t="str">
        <f>IF(C12&gt;=8.6,"ممتاز",IF(C12&gt;=7.6,"جيد جداً",IF(C12&gt;=6.6,"جيد",IF(C12&gt;=5,"مقبول","يُعاد"))))</f>
        <v>ممتاز</v>
      </c>
      <c r="H12" s="75" t="str">
        <f>IF(D12&gt;=8.6,"ممتاز",IF(D12&gt;=7.6,"جيد جداً",IF(D12&gt;=6.6,"جيد",IF(D12&gt;=5,"مقبول","يُعاد"))))</f>
        <v>مقبول</v>
      </c>
      <c r="I12" s="75" t="str">
        <f>IF(E12&gt;=8.6,"ممتاز",IF(E12&gt;=7.6,"جيد جداً",IF(E12&gt;=6.6,"جيد",IF(E12&gt;=5,"مقبول","يُعاد"))))</f>
        <v>ممتاز</v>
      </c>
      <c r="J12" s="76" t="str">
        <f t="shared" si="0"/>
        <v>ممتاز</v>
      </c>
    </row>
    <row r="13" spans="1:10" ht="92.25" x14ac:dyDescent="0.2">
      <c r="A13" s="4">
        <v>9</v>
      </c>
      <c r="B13" s="64" t="s">
        <v>292</v>
      </c>
      <c r="C13" s="66">
        <v>9.5</v>
      </c>
      <c r="D13" s="66">
        <v>8.5</v>
      </c>
      <c r="E13" s="66"/>
      <c r="F13" s="74">
        <f>SUM(C13:E13)</f>
        <v>18</v>
      </c>
      <c r="G13" s="75" t="str">
        <f>IF(C13&gt;=8.6,"ممتاز",IF(C13&gt;=7.6,"جيد جداً",IF(C13&gt;=6.6,"جيد",IF(C13&gt;=5,"مقبول","يُعاد"))))</f>
        <v>ممتاز</v>
      </c>
      <c r="H13" s="75" t="str">
        <f>IF(D13&gt;=8.6,"ممتاز",IF(D13&gt;=7.6,"جيد جداً",IF(D13&gt;=6.6,"جيد",IF(D13&gt;=5,"مقبول","يُعاد"))))</f>
        <v>جيد جداً</v>
      </c>
      <c r="I13" s="75" t="str">
        <f>IF(E13&gt;=8.6,"ممتاز",IF(E13&gt;=7.6,"جيد جداً",IF(E13&gt;=6.6,"جيد",IF(E13&gt;=5,"مقبول","يُعاد"))))</f>
        <v>يُعاد</v>
      </c>
      <c r="J13" s="76" t="str">
        <f t="shared" si="0"/>
        <v>جيد</v>
      </c>
    </row>
    <row r="14" spans="1:10" ht="92.25" x14ac:dyDescent="0.2">
      <c r="A14" s="4">
        <v>10</v>
      </c>
      <c r="B14" s="64" t="s">
        <v>401</v>
      </c>
      <c r="C14" s="66">
        <v>6.5</v>
      </c>
      <c r="D14" s="66">
        <v>5</v>
      </c>
      <c r="E14" s="66"/>
      <c r="F14" s="74">
        <f>SUM(C14:E14)</f>
        <v>11.5</v>
      </c>
      <c r="G14" s="75" t="str">
        <f>IF(C14&gt;=8.6,"ممتاز",IF(C14&gt;=7.6,"جيد جداً",IF(C14&gt;=6.6,"جيد",IF(C14&gt;=5,"مقبول","يُعاد"))))</f>
        <v>مقبول</v>
      </c>
      <c r="H14" s="75" t="str">
        <f>IF(D14&gt;=8.6,"ممتاز",IF(D14&gt;=7.6,"جيد جداً",IF(D14&gt;=6.6,"جيد",IF(D14&gt;=5,"مقبول","يُعاد"))))</f>
        <v>مقبول</v>
      </c>
      <c r="I14" s="75" t="str">
        <f>IF(E14&gt;=8.6,"ممتاز",IF(E14&gt;=7.6,"جيد جداً",IF(E14&gt;=6.6,"جيد",IF(E14&gt;=5,"مقبول","يُعاد"))))</f>
        <v>يُعاد</v>
      </c>
      <c r="J14" s="76" t="str">
        <f t="shared" si="0"/>
        <v>راسب</v>
      </c>
    </row>
    <row r="15" spans="1:10" ht="92.25" x14ac:dyDescent="0.2">
      <c r="A15" s="4">
        <v>11</v>
      </c>
      <c r="B15" s="64" t="s">
        <v>294</v>
      </c>
      <c r="C15" s="66"/>
      <c r="D15" s="66"/>
      <c r="E15" s="66"/>
      <c r="F15" s="74">
        <f>SUM(C15:E15)</f>
        <v>0</v>
      </c>
      <c r="G15" s="75" t="str">
        <f>IF(C15&gt;=8.6,"ممتاز",IF(C15&gt;=7.6,"جيد جداً",IF(C15&gt;=6.6,"جيد",IF(C15&gt;=5,"مقبول","يُعاد"))))</f>
        <v>يُعاد</v>
      </c>
      <c r="H15" s="75" t="str">
        <f>IF(D15&gt;=8.6,"ممتاز",IF(D15&gt;=7.6,"جيد جداً",IF(D15&gt;=6.6,"جيد",IF(D15&gt;=5,"مقبول","يُعاد"))))</f>
        <v>يُعاد</v>
      </c>
      <c r="I15" s="75" t="str">
        <f>IF(E15&gt;=8.6,"ممتاز",IF(E15&gt;=7.6,"جيد جداً",IF(E15&gt;=6.6,"جيد",IF(E15&gt;=5,"مقبول","يُعاد"))))</f>
        <v>يُعاد</v>
      </c>
      <c r="J15" s="76" t="str">
        <f t="shared" si="0"/>
        <v>راسب</v>
      </c>
    </row>
    <row r="16" spans="1:10" ht="92.25" x14ac:dyDescent="0.2">
      <c r="A16" s="4">
        <v>12</v>
      </c>
      <c r="B16" s="64" t="s">
        <v>84</v>
      </c>
      <c r="C16" s="66"/>
      <c r="D16" s="66"/>
      <c r="E16" s="66"/>
      <c r="F16" s="74">
        <f>SUM(C16:E16)</f>
        <v>0</v>
      </c>
      <c r="G16" s="75" t="str">
        <f>IF(C16&gt;=8.6,"ممتاز",IF(C16&gt;=7.6,"جيد جداً",IF(C16&gt;=6.6,"جيد",IF(C16&gt;=5,"مقبول","يُعاد"))))</f>
        <v>يُعاد</v>
      </c>
      <c r="H16" s="75" t="str">
        <f>IF(D16&gt;=8.6,"ممتاز",IF(D16&gt;=7.6,"جيد جداً",IF(D16&gt;=6.6,"جيد",IF(D16&gt;=5,"مقبول","يُعاد"))))</f>
        <v>يُعاد</v>
      </c>
      <c r="I16" s="75" t="str">
        <f>IF(E16&gt;=8.6,"ممتاز",IF(E16&gt;=7.6,"جيد جداً",IF(E16&gt;=6.6,"جيد",IF(E16&gt;=5,"مقبول","يُعاد"))))</f>
        <v>يُعاد</v>
      </c>
      <c r="J16" s="76" t="str">
        <f t="shared" si="0"/>
        <v>راسب</v>
      </c>
    </row>
    <row r="17" spans="1:10" ht="92.25" x14ac:dyDescent="0.2">
      <c r="A17" s="4">
        <v>13</v>
      </c>
      <c r="B17" s="64" t="s">
        <v>295</v>
      </c>
      <c r="C17" s="66">
        <v>9.5</v>
      </c>
      <c r="D17" s="66">
        <v>7</v>
      </c>
      <c r="E17" s="66">
        <v>1.7</v>
      </c>
      <c r="F17" s="74">
        <f>SUM(C17:E17)</f>
        <v>18.2</v>
      </c>
      <c r="G17" s="75" t="str">
        <f>IF(C17&gt;=8.6,"ممتاز",IF(C17&gt;=7.6,"جيد جداً",IF(C17&gt;=6.6,"جيد",IF(C17&gt;=5,"مقبول","يُعاد"))))</f>
        <v>ممتاز</v>
      </c>
      <c r="H17" s="75" t="str">
        <f>IF(D17&gt;=8.6,"ممتاز",IF(D17&gt;=7.6,"جيد جداً",IF(D17&gt;=6.6,"جيد",IF(D17&gt;=5,"مقبول","يُعاد"))))</f>
        <v>جيد</v>
      </c>
      <c r="I17" s="75" t="str">
        <f>IF(E17&gt;=8.6,"ممتاز",IF(E17&gt;=7.6,"جيد جداً",IF(E17&gt;=6.6,"جيد",IF(E17&gt;=5,"مقبول","يُعاد"))))</f>
        <v>يُعاد</v>
      </c>
      <c r="J17" s="76" t="str">
        <f t="shared" si="0"/>
        <v>جيد</v>
      </c>
    </row>
    <row r="18" spans="1:10" ht="92.25" x14ac:dyDescent="0.2">
      <c r="A18" s="4">
        <v>14</v>
      </c>
      <c r="B18" s="64" t="s">
        <v>296</v>
      </c>
      <c r="C18" s="66">
        <v>9.5</v>
      </c>
      <c r="D18" s="66">
        <v>9</v>
      </c>
      <c r="E18" s="66">
        <v>7.2</v>
      </c>
      <c r="F18" s="74">
        <f>SUM(C18:E18)</f>
        <v>25.7</v>
      </c>
      <c r="G18" s="75" t="str">
        <f>IF(C18&gt;=8.6,"ممتاز",IF(C18&gt;=7.6,"جيد جداً",IF(C18&gt;=6.6,"جيد",IF(C18&gt;=5,"مقبول","يُعاد"))))</f>
        <v>ممتاز</v>
      </c>
      <c r="H18" s="75" t="str">
        <f>IF(D18&gt;=8.6,"ممتاز",IF(D18&gt;=7.6,"جيد جداً",IF(D18&gt;=6.6,"جيد",IF(D18&gt;=5,"مقبول","يُعاد"))))</f>
        <v>ممتاز</v>
      </c>
      <c r="I18" s="75" t="str">
        <f>IF(E18&gt;=8.6,"ممتاز",IF(E18&gt;=7.6,"جيد جداً",IF(E18&gt;=6.6,"جيد",IF(E18&gt;=5,"مقبول","يُعاد"))))</f>
        <v>جيد</v>
      </c>
      <c r="J18" s="76" t="str">
        <f t="shared" si="0"/>
        <v>ممتاز</v>
      </c>
    </row>
    <row r="19" spans="1:10" ht="92.25" x14ac:dyDescent="0.2">
      <c r="A19" s="4">
        <v>15</v>
      </c>
      <c r="B19" s="64" t="s">
        <v>297</v>
      </c>
      <c r="C19" s="66"/>
      <c r="D19" s="66"/>
      <c r="E19" s="66"/>
      <c r="F19" s="74">
        <f>SUM(C19:E19)</f>
        <v>0</v>
      </c>
      <c r="G19" s="75" t="str">
        <f>IF(C19&gt;=8.6,"ممتاز",IF(C19&gt;=7.6,"جيد جداً",IF(C19&gt;=6.6,"جيد",IF(C19&gt;=5,"مقبول","يُعاد"))))</f>
        <v>يُعاد</v>
      </c>
      <c r="H19" s="75" t="str">
        <f>IF(D19&gt;=8.6,"ممتاز",IF(D19&gt;=7.6,"جيد جداً",IF(D19&gt;=6.6,"جيد",IF(D19&gt;=5,"مقبول","يُعاد"))))</f>
        <v>يُعاد</v>
      </c>
      <c r="I19" s="75" t="str">
        <f>IF(E19&gt;=8.6,"ممتاز",IF(E19&gt;=7.6,"جيد جداً",IF(E19&gt;=6.6,"جيد",IF(E19&gt;=5,"مقبول","يُعاد"))))</f>
        <v>يُعاد</v>
      </c>
      <c r="J19" s="76" t="str">
        <f t="shared" si="0"/>
        <v>راسب</v>
      </c>
    </row>
    <row r="20" spans="1:10" ht="92.25" x14ac:dyDescent="0.2">
      <c r="A20" s="4">
        <v>16</v>
      </c>
      <c r="B20" s="64" t="s">
        <v>298</v>
      </c>
      <c r="C20" s="66">
        <v>6</v>
      </c>
      <c r="D20" s="66">
        <v>4</v>
      </c>
      <c r="E20" s="66">
        <v>8.3000000000000007</v>
      </c>
      <c r="F20" s="74">
        <f>SUM(C20:E20)</f>
        <v>18.3</v>
      </c>
      <c r="G20" s="75" t="str">
        <f>IF(C20&gt;=8.6,"ممتاز",IF(C20&gt;=7.6,"جيد جداً",IF(C20&gt;=6.6,"جيد",IF(C20&gt;=5,"مقبول","يُعاد"))))</f>
        <v>مقبول</v>
      </c>
      <c r="H20" s="75" t="str">
        <f>IF(D20&gt;=8.6,"ممتاز",IF(D20&gt;=7.6,"جيد جداً",IF(D20&gt;=6.6,"جيد",IF(D20&gt;=5,"مقبول","يُعاد"))))</f>
        <v>يُعاد</v>
      </c>
      <c r="I20" s="75" t="str">
        <f>IF(E20&gt;=8.6,"ممتاز",IF(E20&gt;=7.6,"جيد جداً",IF(E20&gt;=6.6,"جيد",IF(E20&gt;=5,"مقبول","يُعاد"))))</f>
        <v>جيد جداً</v>
      </c>
      <c r="J20" s="76" t="str">
        <f t="shared" si="0"/>
        <v>جيد</v>
      </c>
    </row>
    <row r="21" spans="1:10" ht="92.25" x14ac:dyDescent="0.2">
      <c r="A21" s="4">
        <v>17</v>
      </c>
      <c r="B21" s="64" t="s">
        <v>299</v>
      </c>
      <c r="C21" s="66">
        <v>10</v>
      </c>
      <c r="D21" s="66">
        <v>9.5</v>
      </c>
      <c r="E21" s="66">
        <v>10</v>
      </c>
      <c r="F21" s="74">
        <f>SUM(C21:E21)</f>
        <v>29.5</v>
      </c>
      <c r="G21" s="75" t="str">
        <f>IF(C21&gt;=8.6,"ممتاز",IF(C21&gt;=7.6,"جيد جداً",IF(C21&gt;=6.6,"جيد",IF(C21&gt;=5,"مقبول","يُعاد"))))</f>
        <v>ممتاز</v>
      </c>
      <c r="H21" s="75" t="str">
        <f>IF(D21&gt;=8.6,"ممتاز",IF(D21&gt;=7.6,"جيد جداً",IF(D21&gt;=6.6,"جيد",IF(D21&gt;=5,"مقبول","يُعاد"))))</f>
        <v>ممتاز</v>
      </c>
      <c r="I21" s="75" t="str">
        <f>IF(E21&gt;=8.6,"ممتاز",IF(E21&gt;=7.6,"جيد جداً",IF(E21&gt;=6.6,"جيد",IF(E21&gt;=5,"مقبول","يُعاد"))))</f>
        <v>ممتاز</v>
      </c>
      <c r="J21" s="76" t="str">
        <f t="shared" si="0"/>
        <v>ممتاز</v>
      </c>
    </row>
    <row r="22" spans="1:10" ht="92.25" x14ac:dyDescent="0.2">
      <c r="A22" s="4">
        <v>18</v>
      </c>
      <c r="B22" s="64" t="s">
        <v>300</v>
      </c>
      <c r="C22" s="66">
        <v>10</v>
      </c>
      <c r="D22" s="66">
        <v>7.5</v>
      </c>
      <c r="E22" s="66"/>
      <c r="F22" s="74">
        <f>SUM(C22:E22)</f>
        <v>17.5</v>
      </c>
      <c r="G22" s="75" t="str">
        <f>IF(C22&gt;=8.6,"ممتاز",IF(C22&gt;=7.6,"جيد جداً",IF(C22&gt;=6.6,"جيد",IF(C22&gt;=5,"مقبول","يُعاد"))))</f>
        <v>ممتاز</v>
      </c>
      <c r="H22" s="75" t="str">
        <f>IF(D22&gt;=8.6,"ممتاز",IF(D22&gt;=7.6,"جيد جداً",IF(D22&gt;=6.6,"جيد",IF(D22&gt;=5,"مقبول","يُعاد"))))</f>
        <v>جيد</v>
      </c>
      <c r="I22" s="75" t="str">
        <f>IF(E22&gt;=8.6,"ممتاز",IF(E22&gt;=7.6,"جيد جداً",IF(E22&gt;=6.6,"جيد",IF(E22&gt;=5,"مقبول","يُعاد"))))</f>
        <v>يُعاد</v>
      </c>
      <c r="J22" s="76" t="str">
        <f t="shared" si="0"/>
        <v>جيد</v>
      </c>
    </row>
    <row r="23" spans="1:10" ht="92.25" x14ac:dyDescent="0.2">
      <c r="A23" s="4">
        <v>19</v>
      </c>
      <c r="B23" s="64" t="s">
        <v>301</v>
      </c>
      <c r="C23" s="66">
        <v>10</v>
      </c>
      <c r="D23" s="66">
        <v>7</v>
      </c>
      <c r="E23" s="66">
        <v>10</v>
      </c>
      <c r="F23" s="74">
        <f>SUM(C23:E23)</f>
        <v>27</v>
      </c>
      <c r="G23" s="75" t="str">
        <f>IF(C23&gt;=8.6,"ممتاز",IF(C23&gt;=7.6,"جيد جداً",IF(C23&gt;=6.6,"جيد",IF(C23&gt;=5,"مقبول","يُعاد"))))</f>
        <v>ممتاز</v>
      </c>
      <c r="H23" s="75" t="str">
        <f>IF(D23&gt;=8.6,"ممتاز",IF(D23&gt;=7.6,"جيد جداً",IF(D23&gt;=6.6,"جيد",IF(D23&gt;=5,"مقبول","يُعاد"))))</f>
        <v>جيد</v>
      </c>
      <c r="I23" s="75" t="str">
        <f>IF(E23&gt;=8.6,"ممتاز",IF(E23&gt;=7.6,"جيد جداً",IF(E23&gt;=6.6,"جيد",IF(E23&gt;=5,"مقبول","يُعاد"))))</f>
        <v>ممتاز</v>
      </c>
      <c r="J23" s="76" t="str">
        <f t="shared" si="0"/>
        <v>ممتاز</v>
      </c>
    </row>
    <row r="24" spans="1:10" ht="92.25" x14ac:dyDescent="0.2">
      <c r="A24" s="4">
        <v>20</v>
      </c>
      <c r="B24" s="64" t="s">
        <v>302</v>
      </c>
      <c r="C24" s="66">
        <v>10</v>
      </c>
      <c r="D24" s="66">
        <v>10</v>
      </c>
      <c r="E24" s="66">
        <v>10</v>
      </c>
      <c r="F24" s="74">
        <f>SUM(C24:E24)</f>
        <v>30</v>
      </c>
      <c r="G24" s="75" t="str">
        <f>IF(C24&gt;=8.6,"ممتاز",IF(C24&gt;=7.6,"جيد جداً",IF(C24&gt;=6.6,"جيد",IF(C24&gt;=5,"مقبول","يُعاد"))))</f>
        <v>ممتاز</v>
      </c>
      <c r="H24" s="75" t="str">
        <f>IF(D24&gt;=8.6,"ممتاز",IF(D24&gt;=7.6,"جيد جداً",IF(D24&gt;=6.6,"جيد",IF(D24&gt;=5,"مقبول","يُعاد"))))</f>
        <v>ممتاز</v>
      </c>
      <c r="I24" s="75" t="str">
        <f>IF(E24&gt;=8.6,"ممتاز",IF(E24&gt;=7.6,"جيد جداً",IF(E24&gt;=6.6,"جيد",IF(E24&gt;=5,"مقبول","يُعاد"))))</f>
        <v>ممتاز</v>
      </c>
      <c r="J24" s="76" t="str">
        <f t="shared" si="0"/>
        <v>ممتاز</v>
      </c>
    </row>
    <row r="25" spans="1:10" ht="92.25" x14ac:dyDescent="0.2">
      <c r="A25" s="4">
        <v>21</v>
      </c>
      <c r="B25" s="64" t="s">
        <v>77</v>
      </c>
      <c r="C25" s="66"/>
      <c r="D25" s="66"/>
      <c r="E25" s="66"/>
      <c r="F25" s="74">
        <f>SUM(C25:E25)</f>
        <v>0</v>
      </c>
      <c r="G25" s="75" t="str">
        <f>IF(C25&gt;=8.6,"ممتاز",IF(C25&gt;=7.6,"جيد جداً",IF(C25&gt;=6.6,"جيد",IF(C25&gt;=5,"مقبول","يُعاد"))))</f>
        <v>يُعاد</v>
      </c>
      <c r="H25" s="75" t="str">
        <f>IF(D25&gt;=8.6,"ممتاز",IF(D25&gt;=7.6,"جيد جداً",IF(D25&gt;=6.6,"جيد",IF(D25&gt;=5,"مقبول","يُعاد"))))</f>
        <v>يُعاد</v>
      </c>
      <c r="I25" s="75" t="str">
        <f>IF(E25&gt;=8.6,"ممتاز",IF(E25&gt;=7.6,"جيد جداً",IF(E25&gt;=6.6,"جيد",IF(E25&gt;=5,"مقبول","يُعاد"))))</f>
        <v>يُعاد</v>
      </c>
      <c r="J25" s="76" t="str">
        <f t="shared" si="0"/>
        <v>راسب</v>
      </c>
    </row>
    <row r="26" spans="1:10" ht="92.25" x14ac:dyDescent="0.2">
      <c r="A26" s="4">
        <v>22</v>
      </c>
      <c r="B26" s="64" t="s">
        <v>303</v>
      </c>
      <c r="C26" s="66"/>
      <c r="D26" s="66"/>
      <c r="E26" s="66"/>
      <c r="F26" s="74">
        <f>SUM(C26:E26)</f>
        <v>0</v>
      </c>
      <c r="G26" s="75" t="str">
        <f>IF(C26&gt;=8.6,"ممتاز",IF(C26&gt;=7.6,"جيد جداً",IF(C26&gt;=6.6,"جيد",IF(C26&gt;=5,"مقبول","يُعاد"))))</f>
        <v>يُعاد</v>
      </c>
      <c r="H26" s="75" t="str">
        <f>IF(D26&gt;=8.6,"ممتاز",IF(D26&gt;=7.6,"جيد جداً",IF(D26&gt;=6.6,"جيد",IF(D26&gt;=5,"مقبول","يُعاد"))))</f>
        <v>يُعاد</v>
      </c>
      <c r="I26" s="75" t="str">
        <f>IF(E26&gt;=8.6,"ممتاز",IF(E26&gt;=7.6,"جيد جداً",IF(E26&gt;=6.6,"جيد",IF(E26&gt;=5,"مقبول","يُعاد"))))</f>
        <v>يُعاد</v>
      </c>
      <c r="J26" s="76" t="str">
        <f t="shared" si="0"/>
        <v>راسب</v>
      </c>
    </row>
    <row r="27" spans="1:10" ht="92.25" x14ac:dyDescent="0.2">
      <c r="A27" s="4">
        <v>23</v>
      </c>
      <c r="B27" s="64" t="s">
        <v>304</v>
      </c>
      <c r="C27" s="66">
        <v>10</v>
      </c>
      <c r="D27" s="66">
        <v>7.5</v>
      </c>
      <c r="E27" s="66">
        <v>9.8000000000000007</v>
      </c>
      <c r="F27" s="74">
        <f>SUM(C27:E27)</f>
        <v>27.3</v>
      </c>
      <c r="G27" s="75" t="str">
        <f>IF(C27&gt;=8.6,"ممتاز",IF(C27&gt;=7.6,"جيد جداً",IF(C27&gt;=6.6,"جيد",IF(C27&gt;=5,"مقبول","يُعاد"))))</f>
        <v>ممتاز</v>
      </c>
      <c r="H27" s="75" t="str">
        <f>IF(D27&gt;=8.6,"ممتاز",IF(D27&gt;=7.6,"جيد جداً",IF(D27&gt;=6.6,"جيد",IF(D27&gt;=5,"مقبول","يُعاد"))))</f>
        <v>جيد</v>
      </c>
      <c r="I27" s="75" t="str">
        <f>IF(E27&gt;=8.6,"ممتاز",IF(E27&gt;=7.6,"جيد جداً",IF(E27&gt;=6.6,"جيد",IF(E27&gt;=5,"مقبول","يُعاد"))))</f>
        <v>ممتاز</v>
      </c>
      <c r="J27" s="76" t="str">
        <f t="shared" si="0"/>
        <v>ممتاز</v>
      </c>
    </row>
    <row r="28" spans="1:10" ht="92.25" x14ac:dyDescent="0.2">
      <c r="A28" s="4">
        <v>24</v>
      </c>
      <c r="B28" s="64" t="s">
        <v>305</v>
      </c>
      <c r="C28" s="66"/>
      <c r="D28" s="66"/>
      <c r="E28" s="66"/>
      <c r="F28" s="74">
        <f t="shared" ref="F28:F91" si="1">SUM(C28:E28)</f>
        <v>0</v>
      </c>
      <c r="G28" s="75" t="str">
        <f t="shared" ref="G28:G91" si="2">IF(C28&gt;=8.6,"ممتاز",IF(C28&gt;=7.6,"جيد جداً",IF(C28&gt;=6.6,"جيد",IF(C28&gt;=5,"مقبول","يُعاد"))))</f>
        <v>يُعاد</v>
      </c>
      <c r="H28" s="75" t="str">
        <f t="shared" ref="H28:H91" si="3">IF(D28&gt;=8.6,"ممتاز",IF(D28&gt;=7.6,"جيد جداً",IF(D28&gt;=6.6,"جيد",IF(D28&gt;=5,"مقبول","يُعاد"))))</f>
        <v>يُعاد</v>
      </c>
      <c r="I28" s="75" t="str">
        <f t="shared" ref="I28:I91" si="4">IF(E28&gt;=8.6,"ممتاز",IF(E28&gt;=7.6,"جيد جداً",IF(E28&gt;=6.6,"جيد",IF(E28&gt;=5,"مقبول","يُعاد"))))</f>
        <v>يُعاد</v>
      </c>
      <c r="J28" s="76" t="str">
        <f t="shared" si="0"/>
        <v>راسب</v>
      </c>
    </row>
    <row r="29" spans="1:10" ht="92.25" x14ac:dyDescent="0.2">
      <c r="A29" s="4">
        <v>25</v>
      </c>
      <c r="B29" s="64" t="s">
        <v>306</v>
      </c>
      <c r="C29" s="66">
        <v>5.5</v>
      </c>
      <c r="D29" s="66">
        <v>7</v>
      </c>
      <c r="E29" s="66"/>
      <c r="F29" s="74">
        <f t="shared" si="1"/>
        <v>12.5</v>
      </c>
      <c r="G29" s="75" t="str">
        <f t="shared" si="2"/>
        <v>مقبول</v>
      </c>
      <c r="H29" s="75" t="str">
        <f t="shared" si="3"/>
        <v>جيد</v>
      </c>
      <c r="I29" s="75" t="str">
        <f t="shared" si="4"/>
        <v>يُعاد</v>
      </c>
      <c r="J29" s="76" t="str">
        <f t="shared" si="0"/>
        <v>راسب</v>
      </c>
    </row>
    <row r="30" spans="1:10" ht="92.25" x14ac:dyDescent="0.2">
      <c r="A30" s="4">
        <v>26</v>
      </c>
      <c r="B30" s="64" t="s">
        <v>307</v>
      </c>
      <c r="C30" s="66">
        <v>9</v>
      </c>
      <c r="D30" s="66">
        <v>10</v>
      </c>
      <c r="E30" s="66">
        <v>10</v>
      </c>
      <c r="F30" s="74">
        <f t="shared" si="1"/>
        <v>29</v>
      </c>
      <c r="G30" s="75" t="str">
        <f t="shared" si="2"/>
        <v>ممتاز</v>
      </c>
      <c r="H30" s="75" t="str">
        <f t="shared" si="3"/>
        <v>ممتاز</v>
      </c>
      <c r="I30" s="75" t="str">
        <f t="shared" si="4"/>
        <v>ممتاز</v>
      </c>
      <c r="J30" s="76" t="str">
        <f t="shared" si="0"/>
        <v>ممتاز</v>
      </c>
    </row>
    <row r="31" spans="1:10" ht="92.25" x14ac:dyDescent="0.2">
      <c r="A31" s="4">
        <v>27</v>
      </c>
      <c r="B31" s="64" t="s">
        <v>89</v>
      </c>
      <c r="C31" s="66"/>
      <c r="D31" s="66"/>
      <c r="E31" s="66">
        <v>2.2999999999999998</v>
      </c>
      <c r="F31" s="74">
        <f t="shared" si="1"/>
        <v>2.2999999999999998</v>
      </c>
      <c r="G31" s="75" t="str">
        <f t="shared" si="2"/>
        <v>يُعاد</v>
      </c>
      <c r="H31" s="75" t="str">
        <f t="shared" si="3"/>
        <v>يُعاد</v>
      </c>
      <c r="I31" s="75" t="str">
        <f t="shared" si="4"/>
        <v>يُعاد</v>
      </c>
      <c r="J31" s="76" t="str">
        <f t="shared" si="0"/>
        <v>راسب</v>
      </c>
    </row>
    <row r="32" spans="1:10" ht="92.25" x14ac:dyDescent="0.2">
      <c r="A32" s="4">
        <v>28</v>
      </c>
      <c r="B32" s="64" t="s">
        <v>308</v>
      </c>
      <c r="C32" s="66">
        <v>9.5</v>
      </c>
      <c r="D32" s="66">
        <v>7</v>
      </c>
      <c r="E32" s="66">
        <v>2.5</v>
      </c>
      <c r="F32" s="74">
        <f t="shared" si="1"/>
        <v>19</v>
      </c>
      <c r="G32" s="75" t="str">
        <f t="shared" si="2"/>
        <v>ممتاز</v>
      </c>
      <c r="H32" s="75" t="str">
        <f t="shared" si="3"/>
        <v>جيد</v>
      </c>
      <c r="I32" s="75" t="str">
        <f t="shared" si="4"/>
        <v>يُعاد</v>
      </c>
      <c r="J32" s="76" t="str">
        <f t="shared" si="0"/>
        <v>جيد</v>
      </c>
    </row>
    <row r="33" spans="1:10" ht="92.25" x14ac:dyDescent="0.2">
      <c r="A33" s="4">
        <v>29</v>
      </c>
      <c r="B33" s="64" t="s">
        <v>309</v>
      </c>
      <c r="C33" s="66">
        <v>10</v>
      </c>
      <c r="D33" s="66">
        <v>10</v>
      </c>
      <c r="E33" s="66"/>
      <c r="F33" s="74">
        <f t="shared" si="1"/>
        <v>20</v>
      </c>
      <c r="G33" s="75" t="str">
        <f t="shared" si="2"/>
        <v>ممتاز</v>
      </c>
      <c r="H33" s="75" t="str">
        <f t="shared" si="3"/>
        <v>ممتاز</v>
      </c>
      <c r="I33" s="75" t="str">
        <f t="shared" si="4"/>
        <v>يُعاد</v>
      </c>
      <c r="J33" s="76" t="str">
        <f t="shared" si="0"/>
        <v>جيد جداً</v>
      </c>
    </row>
    <row r="34" spans="1:10" ht="92.25" x14ac:dyDescent="0.2">
      <c r="A34" s="4">
        <v>30</v>
      </c>
      <c r="B34" s="64" t="s">
        <v>310</v>
      </c>
      <c r="C34" s="66">
        <v>10</v>
      </c>
      <c r="D34" s="66">
        <v>10</v>
      </c>
      <c r="E34" s="66">
        <v>10</v>
      </c>
      <c r="F34" s="74">
        <f t="shared" si="1"/>
        <v>30</v>
      </c>
      <c r="G34" s="75" t="str">
        <f t="shared" si="2"/>
        <v>ممتاز</v>
      </c>
      <c r="H34" s="75" t="str">
        <f t="shared" si="3"/>
        <v>ممتاز</v>
      </c>
      <c r="I34" s="75" t="str">
        <f t="shared" si="4"/>
        <v>ممتاز</v>
      </c>
      <c r="J34" s="76" t="str">
        <f t="shared" si="0"/>
        <v>ممتاز</v>
      </c>
    </row>
    <row r="35" spans="1:10" ht="92.25" x14ac:dyDescent="0.2">
      <c r="A35" s="4">
        <v>31</v>
      </c>
      <c r="B35" s="64" t="s">
        <v>311</v>
      </c>
      <c r="C35" s="66">
        <v>10</v>
      </c>
      <c r="D35" s="66">
        <v>10</v>
      </c>
      <c r="E35" s="66">
        <v>10</v>
      </c>
      <c r="F35" s="74">
        <f t="shared" si="1"/>
        <v>30</v>
      </c>
      <c r="G35" s="75" t="str">
        <f t="shared" si="2"/>
        <v>ممتاز</v>
      </c>
      <c r="H35" s="75" t="str">
        <f t="shared" si="3"/>
        <v>ممتاز</v>
      </c>
      <c r="I35" s="75" t="str">
        <f t="shared" si="4"/>
        <v>ممتاز</v>
      </c>
      <c r="J35" s="76" t="str">
        <f t="shared" si="0"/>
        <v>ممتاز</v>
      </c>
    </row>
    <row r="36" spans="1:10" ht="92.25" x14ac:dyDescent="0.2">
      <c r="A36" s="4">
        <v>32</v>
      </c>
      <c r="B36" s="64" t="s">
        <v>312</v>
      </c>
      <c r="C36" s="66">
        <v>8</v>
      </c>
      <c r="D36" s="66">
        <v>6.5</v>
      </c>
      <c r="E36" s="66"/>
      <c r="F36" s="74">
        <f t="shared" si="1"/>
        <v>14.5</v>
      </c>
      <c r="G36" s="75" t="str">
        <f t="shared" si="2"/>
        <v>جيد جداً</v>
      </c>
      <c r="H36" s="75" t="str">
        <f t="shared" si="3"/>
        <v>مقبول</v>
      </c>
      <c r="I36" s="75" t="str">
        <f t="shared" si="4"/>
        <v>يُعاد</v>
      </c>
      <c r="J36" s="76" t="str">
        <f t="shared" si="0"/>
        <v>راسب</v>
      </c>
    </row>
    <row r="37" spans="1:10" ht="92.25" x14ac:dyDescent="0.2">
      <c r="A37" s="4">
        <v>33</v>
      </c>
      <c r="B37" s="64" t="s">
        <v>76</v>
      </c>
      <c r="C37" s="66"/>
      <c r="D37" s="66"/>
      <c r="E37" s="66"/>
      <c r="F37" s="74">
        <f t="shared" si="1"/>
        <v>0</v>
      </c>
      <c r="G37" s="75" t="str">
        <f t="shared" si="2"/>
        <v>يُعاد</v>
      </c>
      <c r="H37" s="75" t="str">
        <f t="shared" si="3"/>
        <v>يُعاد</v>
      </c>
      <c r="I37" s="75" t="str">
        <f t="shared" si="4"/>
        <v>يُعاد</v>
      </c>
      <c r="J37" s="76" t="str">
        <f t="shared" si="0"/>
        <v>راسب</v>
      </c>
    </row>
    <row r="38" spans="1:10" ht="92.25" x14ac:dyDescent="0.2">
      <c r="A38" s="4">
        <v>34</v>
      </c>
      <c r="B38" s="64" t="s">
        <v>313</v>
      </c>
      <c r="C38" s="66">
        <v>7.5</v>
      </c>
      <c r="D38" s="66">
        <v>8.5</v>
      </c>
      <c r="E38" s="66">
        <v>7.2</v>
      </c>
      <c r="F38" s="74">
        <f t="shared" si="1"/>
        <v>23.2</v>
      </c>
      <c r="G38" s="75" t="str">
        <f t="shared" si="2"/>
        <v>جيد</v>
      </c>
      <c r="H38" s="75" t="str">
        <f t="shared" si="3"/>
        <v>جيد جداً</v>
      </c>
      <c r="I38" s="75" t="str">
        <f t="shared" si="4"/>
        <v>جيد</v>
      </c>
      <c r="J38" s="76" t="str">
        <f t="shared" si="0"/>
        <v>جيد جداً</v>
      </c>
    </row>
    <row r="39" spans="1:10" ht="92.25" x14ac:dyDescent="0.2">
      <c r="A39" s="4">
        <v>35</v>
      </c>
      <c r="B39" s="64" t="s">
        <v>314</v>
      </c>
      <c r="C39" s="66">
        <v>10</v>
      </c>
      <c r="D39" s="66">
        <v>10</v>
      </c>
      <c r="E39" s="66">
        <v>9.8000000000000007</v>
      </c>
      <c r="F39" s="74">
        <f t="shared" si="1"/>
        <v>29.8</v>
      </c>
      <c r="G39" s="75" t="str">
        <f t="shared" si="2"/>
        <v>ممتاز</v>
      </c>
      <c r="H39" s="75" t="str">
        <f t="shared" si="3"/>
        <v>ممتاز</v>
      </c>
      <c r="I39" s="75" t="str">
        <f t="shared" si="4"/>
        <v>ممتاز</v>
      </c>
      <c r="J39" s="76" t="str">
        <f t="shared" si="0"/>
        <v>ممتاز</v>
      </c>
    </row>
    <row r="40" spans="1:10" ht="92.25" x14ac:dyDescent="0.2">
      <c r="A40" s="4">
        <v>36</v>
      </c>
      <c r="B40" s="64" t="s">
        <v>81</v>
      </c>
      <c r="C40" s="66">
        <v>10</v>
      </c>
      <c r="D40" s="66">
        <v>10</v>
      </c>
      <c r="E40" s="66">
        <v>10</v>
      </c>
      <c r="F40" s="74">
        <f t="shared" si="1"/>
        <v>30</v>
      </c>
      <c r="G40" s="75" t="str">
        <f t="shared" si="2"/>
        <v>ممتاز</v>
      </c>
      <c r="H40" s="75" t="str">
        <f t="shared" si="3"/>
        <v>ممتاز</v>
      </c>
      <c r="I40" s="75" t="str">
        <f t="shared" si="4"/>
        <v>ممتاز</v>
      </c>
      <c r="J40" s="76" t="str">
        <f t="shared" si="0"/>
        <v>ممتاز</v>
      </c>
    </row>
    <row r="41" spans="1:10" ht="92.25" x14ac:dyDescent="0.2">
      <c r="A41" s="4">
        <v>37</v>
      </c>
      <c r="B41" s="64" t="s">
        <v>315</v>
      </c>
      <c r="C41" s="66">
        <v>9</v>
      </c>
      <c r="D41" s="66">
        <v>10</v>
      </c>
      <c r="E41" s="66"/>
      <c r="F41" s="74">
        <f t="shared" si="1"/>
        <v>19</v>
      </c>
      <c r="G41" s="75" t="str">
        <f t="shared" si="2"/>
        <v>ممتاز</v>
      </c>
      <c r="H41" s="75" t="str">
        <f t="shared" si="3"/>
        <v>ممتاز</v>
      </c>
      <c r="I41" s="75" t="str">
        <f t="shared" si="4"/>
        <v>يُعاد</v>
      </c>
      <c r="J41" s="76" t="str">
        <f t="shared" si="0"/>
        <v>جيد</v>
      </c>
    </row>
    <row r="42" spans="1:10" ht="92.25" x14ac:dyDescent="0.2">
      <c r="A42" s="4">
        <v>38</v>
      </c>
      <c r="B42" s="64" t="s">
        <v>83</v>
      </c>
      <c r="C42" s="66">
        <v>9</v>
      </c>
      <c r="D42" s="66">
        <v>10</v>
      </c>
      <c r="E42" s="66">
        <v>10</v>
      </c>
      <c r="F42" s="74">
        <f t="shared" si="1"/>
        <v>29</v>
      </c>
      <c r="G42" s="75" t="str">
        <f t="shared" si="2"/>
        <v>ممتاز</v>
      </c>
      <c r="H42" s="75" t="str">
        <f t="shared" si="3"/>
        <v>ممتاز</v>
      </c>
      <c r="I42" s="75" t="str">
        <f t="shared" si="4"/>
        <v>ممتاز</v>
      </c>
      <c r="J42" s="76" t="str">
        <f t="shared" si="0"/>
        <v>ممتاز</v>
      </c>
    </row>
    <row r="43" spans="1:10" ht="92.25" x14ac:dyDescent="0.2">
      <c r="A43" s="4">
        <v>39</v>
      </c>
      <c r="B43" s="64" t="s">
        <v>316</v>
      </c>
      <c r="C43" s="66">
        <v>10</v>
      </c>
      <c r="D43" s="66">
        <v>9.5</v>
      </c>
      <c r="E43" s="66">
        <v>10</v>
      </c>
      <c r="F43" s="74">
        <f t="shared" si="1"/>
        <v>29.5</v>
      </c>
      <c r="G43" s="75" t="str">
        <f t="shared" si="2"/>
        <v>ممتاز</v>
      </c>
      <c r="H43" s="75" t="str">
        <f t="shared" si="3"/>
        <v>ممتاز</v>
      </c>
      <c r="I43" s="75" t="str">
        <f t="shared" si="4"/>
        <v>ممتاز</v>
      </c>
      <c r="J43" s="76" t="str">
        <f t="shared" si="0"/>
        <v>ممتاز</v>
      </c>
    </row>
    <row r="44" spans="1:10" ht="92.25" x14ac:dyDescent="0.2">
      <c r="A44" s="4">
        <v>40</v>
      </c>
      <c r="B44" s="64" t="s">
        <v>317</v>
      </c>
      <c r="C44" s="66">
        <v>8</v>
      </c>
      <c r="D44" s="66">
        <v>6.5</v>
      </c>
      <c r="E44" s="66">
        <v>9.9</v>
      </c>
      <c r="F44" s="74">
        <f t="shared" si="1"/>
        <v>24.4</v>
      </c>
      <c r="G44" s="75" t="str">
        <f t="shared" si="2"/>
        <v>جيد جداً</v>
      </c>
      <c r="H44" s="75" t="str">
        <f t="shared" si="3"/>
        <v>مقبول</v>
      </c>
      <c r="I44" s="75" t="str">
        <f t="shared" si="4"/>
        <v>ممتاز</v>
      </c>
      <c r="J44" s="76" t="str">
        <f t="shared" si="0"/>
        <v>جيد جداً</v>
      </c>
    </row>
    <row r="45" spans="1:10" ht="92.25" x14ac:dyDescent="0.2">
      <c r="A45" s="4">
        <v>41</v>
      </c>
      <c r="B45" s="64" t="s">
        <v>318</v>
      </c>
      <c r="C45" s="66">
        <v>8</v>
      </c>
      <c r="D45" s="66">
        <v>8</v>
      </c>
      <c r="E45" s="66">
        <v>2</v>
      </c>
      <c r="F45" s="74">
        <f t="shared" si="1"/>
        <v>18</v>
      </c>
      <c r="G45" s="75" t="str">
        <f t="shared" si="2"/>
        <v>جيد جداً</v>
      </c>
      <c r="H45" s="75" t="str">
        <f t="shared" si="3"/>
        <v>جيد جداً</v>
      </c>
      <c r="I45" s="75" t="str">
        <f t="shared" si="4"/>
        <v>يُعاد</v>
      </c>
      <c r="J45" s="76" t="str">
        <f t="shared" si="0"/>
        <v>جيد</v>
      </c>
    </row>
    <row r="46" spans="1:10" ht="92.25" x14ac:dyDescent="0.2">
      <c r="A46" s="4">
        <v>42</v>
      </c>
      <c r="B46" s="64" t="s">
        <v>319</v>
      </c>
      <c r="C46" s="66">
        <v>10</v>
      </c>
      <c r="D46" s="66">
        <v>9</v>
      </c>
      <c r="E46" s="66">
        <v>10</v>
      </c>
      <c r="F46" s="74">
        <f t="shared" si="1"/>
        <v>29</v>
      </c>
      <c r="G46" s="75" t="str">
        <f t="shared" si="2"/>
        <v>ممتاز</v>
      </c>
      <c r="H46" s="75" t="str">
        <f t="shared" si="3"/>
        <v>ممتاز</v>
      </c>
      <c r="I46" s="75" t="str">
        <f t="shared" si="4"/>
        <v>ممتاز</v>
      </c>
      <c r="J46" s="76" t="str">
        <f t="shared" si="0"/>
        <v>ممتاز</v>
      </c>
    </row>
    <row r="47" spans="1:10" ht="92.25" x14ac:dyDescent="0.2">
      <c r="A47" s="4">
        <v>43</v>
      </c>
      <c r="B47" s="64" t="s">
        <v>320</v>
      </c>
      <c r="C47" s="66">
        <v>10</v>
      </c>
      <c r="D47" s="66">
        <v>10</v>
      </c>
      <c r="E47" s="66">
        <v>2.4</v>
      </c>
      <c r="F47" s="74">
        <f t="shared" si="1"/>
        <v>22.4</v>
      </c>
      <c r="G47" s="75" t="str">
        <f t="shared" si="2"/>
        <v>ممتاز</v>
      </c>
      <c r="H47" s="75" t="str">
        <f t="shared" si="3"/>
        <v>ممتاز</v>
      </c>
      <c r="I47" s="75" t="str">
        <f t="shared" si="4"/>
        <v>يُعاد</v>
      </c>
      <c r="J47" s="76" t="str">
        <f t="shared" si="0"/>
        <v>جيد جداً</v>
      </c>
    </row>
    <row r="48" spans="1:10" ht="92.25" x14ac:dyDescent="0.2">
      <c r="A48" s="4">
        <v>44</v>
      </c>
      <c r="B48" s="64" t="s">
        <v>321</v>
      </c>
      <c r="C48" s="66"/>
      <c r="D48" s="66"/>
      <c r="E48" s="66"/>
      <c r="F48" s="74">
        <f t="shared" si="1"/>
        <v>0</v>
      </c>
      <c r="G48" s="75" t="str">
        <f t="shared" si="2"/>
        <v>يُعاد</v>
      </c>
      <c r="H48" s="75" t="str">
        <f t="shared" si="3"/>
        <v>يُعاد</v>
      </c>
      <c r="I48" s="75" t="str">
        <f t="shared" si="4"/>
        <v>يُعاد</v>
      </c>
      <c r="J48" s="76" t="str">
        <f t="shared" si="0"/>
        <v>راسب</v>
      </c>
    </row>
    <row r="49" spans="1:10" ht="92.25" x14ac:dyDescent="0.2">
      <c r="A49" s="4">
        <v>45</v>
      </c>
      <c r="B49" s="64" t="s">
        <v>322</v>
      </c>
      <c r="C49" s="66"/>
      <c r="D49" s="66"/>
      <c r="E49" s="66"/>
      <c r="F49" s="74">
        <f t="shared" si="1"/>
        <v>0</v>
      </c>
      <c r="G49" s="75" t="str">
        <f t="shared" si="2"/>
        <v>يُعاد</v>
      </c>
      <c r="H49" s="75" t="str">
        <f t="shared" si="3"/>
        <v>يُعاد</v>
      </c>
      <c r="I49" s="75" t="str">
        <f t="shared" si="4"/>
        <v>يُعاد</v>
      </c>
      <c r="J49" s="76" t="str">
        <f t="shared" si="0"/>
        <v>راسب</v>
      </c>
    </row>
    <row r="50" spans="1:10" ht="92.25" x14ac:dyDescent="0.2">
      <c r="A50" s="4">
        <v>46</v>
      </c>
      <c r="B50" s="64" t="s">
        <v>323</v>
      </c>
      <c r="C50" s="66">
        <v>9.5</v>
      </c>
      <c r="D50" s="66">
        <v>5</v>
      </c>
      <c r="E50" s="66">
        <v>10</v>
      </c>
      <c r="F50" s="74">
        <f t="shared" si="1"/>
        <v>24.5</v>
      </c>
      <c r="G50" s="75" t="str">
        <f t="shared" si="2"/>
        <v>ممتاز</v>
      </c>
      <c r="H50" s="75" t="str">
        <f t="shared" si="3"/>
        <v>مقبول</v>
      </c>
      <c r="I50" s="75" t="str">
        <f t="shared" si="4"/>
        <v>ممتاز</v>
      </c>
      <c r="J50" s="76" t="str">
        <f t="shared" si="0"/>
        <v>جيد جداً</v>
      </c>
    </row>
    <row r="51" spans="1:10" ht="92.25" x14ac:dyDescent="0.2">
      <c r="A51" s="4">
        <v>47</v>
      </c>
      <c r="B51" s="64" t="s">
        <v>324</v>
      </c>
      <c r="C51" s="66">
        <v>9.5</v>
      </c>
      <c r="D51" s="66">
        <v>7</v>
      </c>
      <c r="E51" s="66">
        <v>9.8000000000000007</v>
      </c>
      <c r="F51" s="74">
        <f t="shared" si="1"/>
        <v>26.3</v>
      </c>
      <c r="G51" s="75" t="str">
        <f t="shared" si="2"/>
        <v>ممتاز</v>
      </c>
      <c r="H51" s="75" t="str">
        <f t="shared" si="3"/>
        <v>جيد</v>
      </c>
      <c r="I51" s="75" t="str">
        <f t="shared" si="4"/>
        <v>ممتاز</v>
      </c>
      <c r="J51" s="76" t="str">
        <f t="shared" si="0"/>
        <v>ممتاز</v>
      </c>
    </row>
    <row r="52" spans="1:10" ht="92.25" x14ac:dyDescent="0.2">
      <c r="A52" s="4">
        <v>48</v>
      </c>
      <c r="B52" s="64" t="s">
        <v>325</v>
      </c>
      <c r="C52" s="66">
        <v>8.5</v>
      </c>
      <c r="D52" s="66">
        <v>8</v>
      </c>
      <c r="E52" s="66">
        <v>2.4</v>
      </c>
      <c r="F52" s="74">
        <f t="shared" si="1"/>
        <v>18.899999999999999</v>
      </c>
      <c r="G52" s="75" t="str">
        <f t="shared" si="2"/>
        <v>جيد جداً</v>
      </c>
      <c r="H52" s="75" t="str">
        <f t="shared" si="3"/>
        <v>جيد جداً</v>
      </c>
      <c r="I52" s="75" t="str">
        <f t="shared" si="4"/>
        <v>يُعاد</v>
      </c>
      <c r="J52" s="76" t="str">
        <f t="shared" si="0"/>
        <v>جيد</v>
      </c>
    </row>
    <row r="53" spans="1:10" ht="92.25" x14ac:dyDescent="0.2">
      <c r="A53" s="4">
        <v>49</v>
      </c>
      <c r="B53" s="64" t="s">
        <v>79</v>
      </c>
      <c r="C53" s="66"/>
      <c r="D53" s="66"/>
      <c r="E53" s="66"/>
      <c r="F53" s="74">
        <f t="shared" si="1"/>
        <v>0</v>
      </c>
      <c r="G53" s="75" t="str">
        <f t="shared" si="2"/>
        <v>يُعاد</v>
      </c>
      <c r="H53" s="75" t="str">
        <f t="shared" si="3"/>
        <v>يُعاد</v>
      </c>
      <c r="I53" s="75" t="str">
        <f t="shared" si="4"/>
        <v>يُعاد</v>
      </c>
      <c r="J53" s="76" t="str">
        <f t="shared" si="0"/>
        <v>راسب</v>
      </c>
    </row>
    <row r="54" spans="1:10" ht="92.25" x14ac:dyDescent="0.2">
      <c r="A54" s="4">
        <v>50</v>
      </c>
      <c r="B54" s="64" t="s">
        <v>326</v>
      </c>
      <c r="C54" s="66">
        <v>6.5</v>
      </c>
      <c r="D54" s="66">
        <v>4.5</v>
      </c>
      <c r="E54" s="66"/>
      <c r="F54" s="74">
        <f t="shared" si="1"/>
        <v>11</v>
      </c>
      <c r="G54" s="75" t="str">
        <f t="shared" si="2"/>
        <v>مقبول</v>
      </c>
      <c r="H54" s="75" t="str">
        <f t="shared" si="3"/>
        <v>يُعاد</v>
      </c>
      <c r="I54" s="75" t="str">
        <f t="shared" si="4"/>
        <v>يُعاد</v>
      </c>
      <c r="J54" s="76" t="str">
        <f t="shared" si="0"/>
        <v>راسب</v>
      </c>
    </row>
    <row r="55" spans="1:10" ht="92.25" x14ac:dyDescent="0.2">
      <c r="A55" s="4">
        <v>51</v>
      </c>
      <c r="B55" s="64" t="s">
        <v>80</v>
      </c>
      <c r="C55" s="66">
        <v>6.5</v>
      </c>
      <c r="D55" s="66">
        <v>4</v>
      </c>
      <c r="E55" s="66">
        <v>7.1</v>
      </c>
      <c r="F55" s="74">
        <f t="shared" si="1"/>
        <v>17.600000000000001</v>
      </c>
      <c r="G55" s="75" t="str">
        <f t="shared" si="2"/>
        <v>مقبول</v>
      </c>
      <c r="H55" s="75" t="str">
        <f t="shared" si="3"/>
        <v>يُعاد</v>
      </c>
      <c r="I55" s="75" t="str">
        <f t="shared" si="4"/>
        <v>جيد</v>
      </c>
      <c r="J55" s="76" t="str">
        <f t="shared" si="0"/>
        <v>جيد</v>
      </c>
    </row>
    <row r="56" spans="1:10" ht="92.25" x14ac:dyDescent="0.2">
      <c r="A56" s="4">
        <v>52</v>
      </c>
      <c r="B56" s="64" t="s">
        <v>75</v>
      </c>
      <c r="C56" s="66"/>
      <c r="D56" s="66"/>
      <c r="E56" s="66"/>
      <c r="F56" s="74">
        <f t="shared" si="1"/>
        <v>0</v>
      </c>
      <c r="G56" s="75" t="str">
        <f t="shared" si="2"/>
        <v>يُعاد</v>
      </c>
      <c r="H56" s="75" t="str">
        <f t="shared" si="3"/>
        <v>يُعاد</v>
      </c>
      <c r="I56" s="75" t="str">
        <f t="shared" si="4"/>
        <v>يُعاد</v>
      </c>
      <c r="J56" s="76" t="str">
        <f t="shared" si="0"/>
        <v>راسب</v>
      </c>
    </row>
    <row r="57" spans="1:10" ht="92.25" x14ac:dyDescent="0.2">
      <c r="A57" s="4">
        <v>53</v>
      </c>
      <c r="B57" s="64" t="s">
        <v>327</v>
      </c>
      <c r="C57" s="66"/>
      <c r="D57" s="66"/>
      <c r="E57" s="66">
        <v>1.8</v>
      </c>
      <c r="F57" s="74">
        <f t="shared" si="1"/>
        <v>1.8</v>
      </c>
      <c r="G57" s="75" t="str">
        <f t="shared" si="2"/>
        <v>يُعاد</v>
      </c>
      <c r="H57" s="75" t="str">
        <f t="shared" si="3"/>
        <v>يُعاد</v>
      </c>
      <c r="I57" s="75" t="str">
        <f t="shared" si="4"/>
        <v>يُعاد</v>
      </c>
      <c r="J57" s="76" t="str">
        <f t="shared" si="0"/>
        <v>راسب</v>
      </c>
    </row>
    <row r="58" spans="1:10" ht="92.25" x14ac:dyDescent="0.2">
      <c r="A58" s="4">
        <v>54</v>
      </c>
      <c r="B58" s="64" t="s">
        <v>328</v>
      </c>
      <c r="C58" s="66"/>
      <c r="D58" s="66"/>
      <c r="E58" s="66"/>
      <c r="F58" s="74">
        <f t="shared" si="1"/>
        <v>0</v>
      </c>
      <c r="G58" s="75" t="str">
        <f t="shared" si="2"/>
        <v>يُعاد</v>
      </c>
      <c r="H58" s="75" t="str">
        <f t="shared" si="3"/>
        <v>يُعاد</v>
      </c>
      <c r="I58" s="75" t="str">
        <f t="shared" si="4"/>
        <v>يُعاد</v>
      </c>
      <c r="J58" s="76" t="str">
        <f t="shared" si="0"/>
        <v>راسب</v>
      </c>
    </row>
    <row r="59" spans="1:10" ht="92.25" x14ac:dyDescent="0.2">
      <c r="A59" s="4">
        <v>55</v>
      </c>
      <c r="B59" s="64" t="s">
        <v>72</v>
      </c>
      <c r="C59" s="66"/>
      <c r="D59" s="66"/>
      <c r="E59" s="66"/>
      <c r="F59" s="74">
        <f t="shared" si="1"/>
        <v>0</v>
      </c>
      <c r="G59" s="75" t="str">
        <f t="shared" si="2"/>
        <v>يُعاد</v>
      </c>
      <c r="H59" s="75" t="str">
        <f t="shared" si="3"/>
        <v>يُعاد</v>
      </c>
      <c r="I59" s="75" t="str">
        <f t="shared" si="4"/>
        <v>يُعاد</v>
      </c>
      <c r="J59" s="76" t="str">
        <f t="shared" si="0"/>
        <v>راسب</v>
      </c>
    </row>
    <row r="60" spans="1:10" ht="92.25" x14ac:dyDescent="0.2">
      <c r="A60" s="4">
        <v>56</v>
      </c>
      <c r="B60" s="64" t="s">
        <v>329</v>
      </c>
      <c r="C60" s="66">
        <v>9</v>
      </c>
      <c r="D60" s="66">
        <v>6</v>
      </c>
      <c r="E60" s="66">
        <v>2.5</v>
      </c>
      <c r="F60" s="74">
        <f t="shared" si="1"/>
        <v>17.5</v>
      </c>
      <c r="G60" s="75" t="str">
        <f t="shared" si="2"/>
        <v>ممتاز</v>
      </c>
      <c r="H60" s="75" t="str">
        <f t="shared" si="3"/>
        <v>مقبول</v>
      </c>
      <c r="I60" s="75" t="str">
        <f t="shared" si="4"/>
        <v>يُعاد</v>
      </c>
      <c r="J60" s="76" t="str">
        <f t="shared" si="0"/>
        <v>جيد</v>
      </c>
    </row>
    <row r="61" spans="1:10" ht="92.25" x14ac:dyDescent="0.2">
      <c r="A61" s="4">
        <v>57</v>
      </c>
      <c r="B61" s="64" t="s">
        <v>330</v>
      </c>
      <c r="C61" s="66"/>
      <c r="D61" s="66"/>
      <c r="E61" s="66"/>
      <c r="F61" s="74">
        <f t="shared" si="1"/>
        <v>0</v>
      </c>
      <c r="G61" s="75" t="str">
        <f t="shared" si="2"/>
        <v>يُعاد</v>
      </c>
      <c r="H61" s="75" t="str">
        <f t="shared" si="3"/>
        <v>يُعاد</v>
      </c>
      <c r="I61" s="75" t="str">
        <f t="shared" si="4"/>
        <v>يُعاد</v>
      </c>
      <c r="J61" s="76" t="str">
        <f t="shared" si="0"/>
        <v>راسب</v>
      </c>
    </row>
    <row r="62" spans="1:10" ht="92.25" x14ac:dyDescent="0.2">
      <c r="A62" s="4">
        <v>58</v>
      </c>
      <c r="B62" s="64" t="s">
        <v>331</v>
      </c>
      <c r="C62" s="66">
        <v>10</v>
      </c>
      <c r="D62" s="66">
        <v>8</v>
      </c>
      <c r="E62" s="66">
        <v>10</v>
      </c>
      <c r="F62" s="74">
        <f t="shared" si="1"/>
        <v>28</v>
      </c>
      <c r="G62" s="75" t="str">
        <f t="shared" si="2"/>
        <v>ممتاز</v>
      </c>
      <c r="H62" s="75" t="str">
        <f t="shared" si="3"/>
        <v>جيد جداً</v>
      </c>
      <c r="I62" s="75" t="str">
        <f t="shared" si="4"/>
        <v>ممتاز</v>
      </c>
      <c r="J62" s="76" t="str">
        <f t="shared" si="0"/>
        <v>ممتاز</v>
      </c>
    </row>
    <row r="63" spans="1:10" ht="92.25" x14ac:dyDescent="0.2">
      <c r="A63" s="4">
        <v>59</v>
      </c>
      <c r="B63" s="64" t="s">
        <v>88</v>
      </c>
      <c r="C63" s="66"/>
      <c r="D63" s="66"/>
      <c r="E63" s="66"/>
      <c r="F63" s="74">
        <f t="shared" si="1"/>
        <v>0</v>
      </c>
      <c r="G63" s="75" t="str">
        <f t="shared" si="2"/>
        <v>يُعاد</v>
      </c>
      <c r="H63" s="75" t="str">
        <f t="shared" si="3"/>
        <v>يُعاد</v>
      </c>
      <c r="I63" s="75" t="str">
        <f t="shared" si="4"/>
        <v>يُعاد</v>
      </c>
      <c r="J63" s="76" t="str">
        <f t="shared" si="0"/>
        <v>راسب</v>
      </c>
    </row>
    <row r="64" spans="1:10" ht="92.25" x14ac:dyDescent="0.2">
      <c r="A64" s="4">
        <v>60</v>
      </c>
      <c r="B64" s="64" t="s">
        <v>332</v>
      </c>
      <c r="C64" s="66"/>
      <c r="D64" s="66"/>
      <c r="E64" s="66"/>
      <c r="F64" s="74">
        <f t="shared" si="1"/>
        <v>0</v>
      </c>
      <c r="G64" s="75" t="str">
        <f t="shared" si="2"/>
        <v>يُعاد</v>
      </c>
      <c r="H64" s="75" t="str">
        <f t="shared" si="3"/>
        <v>يُعاد</v>
      </c>
      <c r="I64" s="75" t="str">
        <f t="shared" si="4"/>
        <v>يُعاد</v>
      </c>
      <c r="J64" s="76" t="str">
        <f t="shared" si="0"/>
        <v>راسب</v>
      </c>
    </row>
    <row r="65" spans="1:10" ht="92.25" x14ac:dyDescent="0.2">
      <c r="A65" s="4">
        <v>61</v>
      </c>
      <c r="B65" s="64" t="s">
        <v>73</v>
      </c>
      <c r="C65" s="66">
        <v>8</v>
      </c>
      <c r="D65" s="66">
        <v>6</v>
      </c>
      <c r="E65" s="66">
        <v>10</v>
      </c>
      <c r="F65" s="74">
        <f t="shared" si="1"/>
        <v>24</v>
      </c>
      <c r="G65" s="75" t="str">
        <f t="shared" si="2"/>
        <v>جيد جداً</v>
      </c>
      <c r="H65" s="75" t="str">
        <f t="shared" si="3"/>
        <v>مقبول</v>
      </c>
      <c r="I65" s="75" t="str">
        <f t="shared" si="4"/>
        <v>ممتاز</v>
      </c>
      <c r="J65" s="76" t="str">
        <f t="shared" si="0"/>
        <v>جيد جداً</v>
      </c>
    </row>
    <row r="66" spans="1:10" ht="92.25" x14ac:dyDescent="0.2">
      <c r="A66" s="4">
        <v>62</v>
      </c>
      <c r="B66" s="64" t="s">
        <v>333</v>
      </c>
      <c r="C66" s="66">
        <v>10</v>
      </c>
      <c r="D66" s="66">
        <v>9</v>
      </c>
      <c r="E66" s="66">
        <v>10</v>
      </c>
      <c r="F66" s="74">
        <f t="shared" si="1"/>
        <v>29</v>
      </c>
      <c r="G66" s="75" t="str">
        <f t="shared" si="2"/>
        <v>ممتاز</v>
      </c>
      <c r="H66" s="75" t="str">
        <f t="shared" si="3"/>
        <v>ممتاز</v>
      </c>
      <c r="I66" s="75" t="str">
        <f t="shared" si="4"/>
        <v>ممتاز</v>
      </c>
      <c r="J66" s="76" t="str">
        <f t="shared" si="0"/>
        <v>ممتاز</v>
      </c>
    </row>
    <row r="67" spans="1:10" ht="92.25" x14ac:dyDescent="0.2">
      <c r="A67" s="4">
        <v>63</v>
      </c>
      <c r="B67" s="64" t="s">
        <v>334</v>
      </c>
      <c r="C67" s="66">
        <v>7.5</v>
      </c>
      <c r="D67" s="66">
        <v>7</v>
      </c>
      <c r="E67" s="66"/>
      <c r="F67" s="74">
        <f t="shared" si="1"/>
        <v>14.5</v>
      </c>
      <c r="G67" s="75" t="str">
        <f t="shared" si="2"/>
        <v>جيد</v>
      </c>
      <c r="H67" s="75" t="str">
        <f t="shared" si="3"/>
        <v>جيد</v>
      </c>
      <c r="I67" s="75" t="str">
        <f t="shared" si="4"/>
        <v>يُعاد</v>
      </c>
      <c r="J67" s="76" t="str">
        <f t="shared" si="0"/>
        <v>راسب</v>
      </c>
    </row>
    <row r="68" spans="1:10" ht="92.25" x14ac:dyDescent="0.2">
      <c r="A68" s="4">
        <v>64</v>
      </c>
      <c r="B68" s="64" t="s">
        <v>400</v>
      </c>
      <c r="C68" s="66"/>
      <c r="D68" s="66"/>
      <c r="E68" s="66"/>
      <c r="F68" s="74">
        <f t="shared" si="1"/>
        <v>0</v>
      </c>
      <c r="G68" s="75" t="str">
        <f t="shared" si="2"/>
        <v>يُعاد</v>
      </c>
      <c r="H68" s="75" t="str">
        <f t="shared" si="3"/>
        <v>يُعاد</v>
      </c>
      <c r="I68" s="75" t="str">
        <f t="shared" si="4"/>
        <v>يُعاد</v>
      </c>
      <c r="J68" s="76" t="str">
        <f t="shared" si="0"/>
        <v>راسب</v>
      </c>
    </row>
    <row r="69" spans="1:10" ht="92.25" x14ac:dyDescent="0.2">
      <c r="A69" s="4">
        <v>65</v>
      </c>
      <c r="B69" s="64" t="s">
        <v>335</v>
      </c>
      <c r="C69" s="66">
        <v>9</v>
      </c>
      <c r="D69" s="66">
        <v>8</v>
      </c>
      <c r="E69" s="66">
        <v>2</v>
      </c>
      <c r="F69" s="74">
        <f t="shared" si="1"/>
        <v>19</v>
      </c>
      <c r="G69" s="75" t="str">
        <f t="shared" si="2"/>
        <v>ممتاز</v>
      </c>
      <c r="H69" s="75" t="str">
        <f t="shared" si="3"/>
        <v>جيد جداً</v>
      </c>
      <c r="I69" s="75" t="str">
        <f t="shared" si="4"/>
        <v>يُعاد</v>
      </c>
      <c r="J69" s="76" t="str">
        <f t="shared" si="0"/>
        <v>جيد</v>
      </c>
    </row>
    <row r="70" spans="1:10" ht="92.25" x14ac:dyDescent="0.2">
      <c r="A70" s="4">
        <v>66</v>
      </c>
      <c r="B70" s="64" t="s">
        <v>90</v>
      </c>
      <c r="C70" s="66">
        <v>6.5</v>
      </c>
      <c r="D70" s="66">
        <v>10</v>
      </c>
      <c r="E70" s="66">
        <v>10</v>
      </c>
      <c r="F70" s="74">
        <f t="shared" si="1"/>
        <v>26.5</v>
      </c>
      <c r="G70" s="75" t="str">
        <f t="shared" si="2"/>
        <v>مقبول</v>
      </c>
      <c r="H70" s="75" t="str">
        <f t="shared" si="3"/>
        <v>ممتاز</v>
      </c>
      <c r="I70" s="75" t="str">
        <f t="shared" si="4"/>
        <v>ممتاز</v>
      </c>
      <c r="J70" s="76" t="str">
        <f t="shared" ref="J70:J106" si="5">IF(F70&gt;=25,"ممتاز",IF(F70&gt;=20,"جيد جداً",IF(F70&gt;=17,"جيد",IF(F70&gt;=15,"مقبول","راسب"))))</f>
        <v>ممتاز</v>
      </c>
    </row>
    <row r="71" spans="1:10" ht="92.25" x14ac:dyDescent="0.2">
      <c r="A71" s="4">
        <v>67</v>
      </c>
      <c r="B71" s="64" t="s">
        <v>336</v>
      </c>
      <c r="C71" s="66"/>
      <c r="D71" s="66"/>
      <c r="E71" s="66"/>
      <c r="F71" s="74">
        <f t="shared" si="1"/>
        <v>0</v>
      </c>
      <c r="G71" s="75" t="str">
        <f t="shared" si="2"/>
        <v>يُعاد</v>
      </c>
      <c r="H71" s="75" t="str">
        <f t="shared" si="3"/>
        <v>يُعاد</v>
      </c>
      <c r="I71" s="75" t="str">
        <f t="shared" si="4"/>
        <v>يُعاد</v>
      </c>
      <c r="J71" s="76" t="str">
        <f t="shared" si="5"/>
        <v>راسب</v>
      </c>
    </row>
    <row r="72" spans="1:10" ht="92.25" x14ac:dyDescent="0.2">
      <c r="A72" s="4">
        <v>68</v>
      </c>
      <c r="B72" s="64" t="s">
        <v>337</v>
      </c>
      <c r="C72" s="66"/>
      <c r="D72" s="66"/>
      <c r="E72" s="66"/>
      <c r="F72" s="74">
        <f t="shared" si="1"/>
        <v>0</v>
      </c>
      <c r="G72" s="75" t="str">
        <f t="shared" si="2"/>
        <v>يُعاد</v>
      </c>
      <c r="H72" s="75" t="str">
        <f t="shared" si="3"/>
        <v>يُعاد</v>
      </c>
      <c r="I72" s="75" t="str">
        <f t="shared" si="4"/>
        <v>يُعاد</v>
      </c>
      <c r="J72" s="76" t="str">
        <f t="shared" si="5"/>
        <v>راسب</v>
      </c>
    </row>
    <row r="73" spans="1:10" ht="92.25" x14ac:dyDescent="0.2">
      <c r="A73" s="4">
        <v>69</v>
      </c>
      <c r="B73" s="64" t="s">
        <v>338</v>
      </c>
      <c r="C73" s="66">
        <v>6</v>
      </c>
      <c r="D73" s="66">
        <v>5</v>
      </c>
      <c r="E73" s="66">
        <v>10</v>
      </c>
      <c r="F73" s="74">
        <f t="shared" si="1"/>
        <v>21</v>
      </c>
      <c r="G73" s="75" t="str">
        <f t="shared" si="2"/>
        <v>مقبول</v>
      </c>
      <c r="H73" s="75" t="str">
        <f t="shared" si="3"/>
        <v>مقبول</v>
      </c>
      <c r="I73" s="75" t="str">
        <f t="shared" si="4"/>
        <v>ممتاز</v>
      </c>
      <c r="J73" s="76" t="str">
        <f t="shared" si="5"/>
        <v>جيد جداً</v>
      </c>
    </row>
    <row r="74" spans="1:10" ht="92.25" x14ac:dyDescent="0.2">
      <c r="A74" s="4">
        <v>70</v>
      </c>
      <c r="B74" s="64" t="s">
        <v>339</v>
      </c>
      <c r="C74" s="66">
        <v>7</v>
      </c>
      <c r="D74" s="66">
        <v>7</v>
      </c>
      <c r="E74" s="66">
        <v>1</v>
      </c>
      <c r="F74" s="74">
        <f t="shared" si="1"/>
        <v>15</v>
      </c>
      <c r="G74" s="75" t="str">
        <f t="shared" si="2"/>
        <v>جيد</v>
      </c>
      <c r="H74" s="75" t="str">
        <f t="shared" si="3"/>
        <v>جيد</v>
      </c>
      <c r="I74" s="75" t="str">
        <f t="shared" si="4"/>
        <v>يُعاد</v>
      </c>
      <c r="J74" s="76" t="str">
        <f t="shared" si="5"/>
        <v>مقبول</v>
      </c>
    </row>
    <row r="75" spans="1:10" ht="92.25" x14ac:dyDescent="0.2">
      <c r="A75" s="4">
        <v>71</v>
      </c>
      <c r="B75" s="64" t="s">
        <v>340</v>
      </c>
      <c r="C75" s="66">
        <v>7</v>
      </c>
      <c r="D75" s="66">
        <v>7.5</v>
      </c>
      <c r="E75" s="66">
        <v>7.4</v>
      </c>
      <c r="F75" s="74">
        <f t="shared" si="1"/>
        <v>21.9</v>
      </c>
      <c r="G75" s="75" t="str">
        <f t="shared" si="2"/>
        <v>جيد</v>
      </c>
      <c r="H75" s="75" t="str">
        <f t="shared" si="3"/>
        <v>جيد</v>
      </c>
      <c r="I75" s="75" t="str">
        <f t="shared" si="4"/>
        <v>جيد</v>
      </c>
      <c r="J75" s="76" t="str">
        <f t="shared" si="5"/>
        <v>جيد جداً</v>
      </c>
    </row>
    <row r="76" spans="1:10" ht="92.25" x14ac:dyDescent="0.2">
      <c r="A76" s="4">
        <v>72</v>
      </c>
      <c r="B76" s="64" t="s">
        <v>341</v>
      </c>
      <c r="C76" s="66"/>
      <c r="D76" s="66"/>
      <c r="E76" s="66"/>
      <c r="F76" s="74">
        <f t="shared" si="1"/>
        <v>0</v>
      </c>
      <c r="G76" s="75" t="str">
        <f t="shared" si="2"/>
        <v>يُعاد</v>
      </c>
      <c r="H76" s="75" t="str">
        <f t="shared" si="3"/>
        <v>يُعاد</v>
      </c>
      <c r="I76" s="75" t="str">
        <f t="shared" si="4"/>
        <v>يُعاد</v>
      </c>
      <c r="J76" s="76" t="str">
        <f t="shared" si="5"/>
        <v>راسب</v>
      </c>
    </row>
    <row r="77" spans="1:10" ht="92.25" x14ac:dyDescent="0.2">
      <c r="A77" s="4">
        <v>73</v>
      </c>
      <c r="B77" s="64" t="s">
        <v>92</v>
      </c>
      <c r="C77" s="66">
        <v>7.5</v>
      </c>
      <c r="D77" s="66">
        <v>5.5</v>
      </c>
      <c r="E77" s="66">
        <v>9.3000000000000007</v>
      </c>
      <c r="F77" s="74">
        <f t="shared" si="1"/>
        <v>22.3</v>
      </c>
      <c r="G77" s="75" t="str">
        <f t="shared" si="2"/>
        <v>جيد</v>
      </c>
      <c r="H77" s="75" t="str">
        <f t="shared" si="3"/>
        <v>مقبول</v>
      </c>
      <c r="I77" s="75" t="str">
        <f t="shared" si="4"/>
        <v>ممتاز</v>
      </c>
      <c r="J77" s="76" t="str">
        <f t="shared" si="5"/>
        <v>جيد جداً</v>
      </c>
    </row>
    <row r="78" spans="1:10" ht="92.25" x14ac:dyDescent="0.2">
      <c r="A78" s="4">
        <v>74</v>
      </c>
      <c r="B78" s="64" t="s">
        <v>86</v>
      </c>
      <c r="C78" s="66">
        <v>10</v>
      </c>
      <c r="D78" s="66">
        <v>10</v>
      </c>
      <c r="E78" s="66">
        <v>10</v>
      </c>
      <c r="F78" s="74">
        <f t="shared" si="1"/>
        <v>30</v>
      </c>
      <c r="G78" s="75" t="str">
        <f t="shared" si="2"/>
        <v>ممتاز</v>
      </c>
      <c r="H78" s="75" t="str">
        <f t="shared" si="3"/>
        <v>ممتاز</v>
      </c>
      <c r="I78" s="75" t="str">
        <f t="shared" si="4"/>
        <v>ممتاز</v>
      </c>
      <c r="J78" s="76" t="str">
        <f t="shared" si="5"/>
        <v>ممتاز</v>
      </c>
    </row>
    <row r="79" spans="1:10" ht="92.25" x14ac:dyDescent="0.2">
      <c r="A79" s="4">
        <v>75</v>
      </c>
      <c r="B79" s="64" t="s">
        <v>342</v>
      </c>
      <c r="C79" s="66">
        <v>5</v>
      </c>
      <c r="D79" s="66">
        <v>7.5</v>
      </c>
      <c r="E79" s="66"/>
      <c r="F79" s="74">
        <f t="shared" si="1"/>
        <v>12.5</v>
      </c>
      <c r="G79" s="75" t="str">
        <f t="shared" si="2"/>
        <v>مقبول</v>
      </c>
      <c r="H79" s="75" t="str">
        <f t="shared" si="3"/>
        <v>جيد</v>
      </c>
      <c r="I79" s="75" t="str">
        <f t="shared" si="4"/>
        <v>يُعاد</v>
      </c>
      <c r="J79" s="76" t="str">
        <f t="shared" si="5"/>
        <v>راسب</v>
      </c>
    </row>
    <row r="80" spans="1:10" ht="92.25" x14ac:dyDescent="0.2">
      <c r="A80" s="4">
        <v>76</v>
      </c>
      <c r="B80" s="64" t="s">
        <v>403</v>
      </c>
      <c r="C80" s="66">
        <v>8.5</v>
      </c>
      <c r="D80" s="66">
        <v>9</v>
      </c>
      <c r="E80" s="66">
        <v>10</v>
      </c>
      <c r="F80" s="74">
        <f t="shared" si="1"/>
        <v>27.5</v>
      </c>
      <c r="G80" s="75" t="str">
        <f t="shared" si="2"/>
        <v>جيد جداً</v>
      </c>
      <c r="H80" s="75" t="str">
        <f t="shared" si="3"/>
        <v>ممتاز</v>
      </c>
      <c r="I80" s="75" t="str">
        <f t="shared" si="4"/>
        <v>ممتاز</v>
      </c>
      <c r="J80" s="76" t="str">
        <f t="shared" si="5"/>
        <v>ممتاز</v>
      </c>
    </row>
    <row r="81" spans="1:10" ht="92.25" x14ac:dyDescent="0.2">
      <c r="A81" s="4">
        <v>77</v>
      </c>
      <c r="B81" s="64" t="s">
        <v>343</v>
      </c>
      <c r="C81" s="66"/>
      <c r="D81" s="66"/>
      <c r="E81" s="66"/>
      <c r="F81" s="74">
        <f t="shared" si="1"/>
        <v>0</v>
      </c>
      <c r="G81" s="75" t="str">
        <f t="shared" si="2"/>
        <v>يُعاد</v>
      </c>
      <c r="H81" s="75" t="str">
        <f t="shared" si="3"/>
        <v>يُعاد</v>
      </c>
      <c r="I81" s="75" t="str">
        <f t="shared" si="4"/>
        <v>يُعاد</v>
      </c>
      <c r="J81" s="76" t="str">
        <f t="shared" si="5"/>
        <v>راسب</v>
      </c>
    </row>
    <row r="82" spans="1:10" ht="92.25" x14ac:dyDescent="0.2">
      <c r="A82" s="4">
        <v>78</v>
      </c>
      <c r="B82" s="64" t="s">
        <v>344</v>
      </c>
      <c r="C82" s="66"/>
      <c r="D82" s="66"/>
      <c r="E82" s="66"/>
      <c r="F82" s="74">
        <f t="shared" si="1"/>
        <v>0</v>
      </c>
      <c r="G82" s="75" t="str">
        <f t="shared" si="2"/>
        <v>يُعاد</v>
      </c>
      <c r="H82" s="75" t="str">
        <f t="shared" si="3"/>
        <v>يُعاد</v>
      </c>
      <c r="I82" s="75" t="str">
        <f t="shared" si="4"/>
        <v>يُعاد</v>
      </c>
      <c r="J82" s="76" t="str">
        <f t="shared" si="5"/>
        <v>راسب</v>
      </c>
    </row>
    <row r="83" spans="1:10" ht="92.25" x14ac:dyDescent="0.2">
      <c r="A83" s="4">
        <v>79</v>
      </c>
      <c r="B83" s="64" t="s">
        <v>345</v>
      </c>
      <c r="C83" s="66"/>
      <c r="D83" s="66"/>
      <c r="E83" s="66"/>
      <c r="F83" s="74">
        <f t="shared" si="1"/>
        <v>0</v>
      </c>
      <c r="G83" s="75" t="str">
        <f t="shared" si="2"/>
        <v>يُعاد</v>
      </c>
      <c r="H83" s="75" t="str">
        <f t="shared" si="3"/>
        <v>يُعاد</v>
      </c>
      <c r="I83" s="75" t="str">
        <f t="shared" si="4"/>
        <v>يُعاد</v>
      </c>
      <c r="J83" s="76" t="str">
        <f t="shared" si="5"/>
        <v>راسب</v>
      </c>
    </row>
    <row r="84" spans="1:10" ht="92.25" x14ac:dyDescent="0.2">
      <c r="A84" s="4">
        <v>80</v>
      </c>
      <c r="B84" s="64" t="s">
        <v>346</v>
      </c>
      <c r="C84" s="66"/>
      <c r="D84" s="66"/>
      <c r="E84" s="66"/>
      <c r="F84" s="74">
        <f t="shared" si="1"/>
        <v>0</v>
      </c>
      <c r="G84" s="75" t="str">
        <f t="shared" si="2"/>
        <v>يُعاد</v>
      </c>
      <c r="H84" s="75" t="str">
        <f t="shared" si="3"/>
        <v>يُعاد</v>
      </c>
      <c r="I84" s="75" t="str">
        <f t="shared" si="4"/>
        <v>يُعاد</v>
      </c>
      <c r="J84" s="76" t="str">
        <f t="shared" si="5"/>
        <v>راسب</v>
      </c>
    </row>
    <row r="85" spans="1:10" ht="92.25" x14ac:dyDescent="0.2">
      <c r="A85" s="4">
        <v>81</v>
      </c>
      <c r="B85" s="64" t="s">
        <v>347</v>
      </c>
      <c r="C85" s="66"/>
      <c r="D85" s="66"/>
      <c r="E85" s="66"/>
      <c r="F85" s="74">
        <f t="shared" si="1"/>
        <v>0</v>
      </c>
      <c r="G85" s="75" t="str">
        <f t="shared" si="2"/>
        <v>يُعاد</v>
      </c>
      <c r="H85" s="75" t="str">
        <f t="shared" si="3"/>
        <v>يُعاد</v>
      </c>
      <c r="I85" s="75" t="str">
        <f t="shared" si="4"/>
        <v>يُعاد</v>
      </c>
      <c r="J85" s="76" t="str">
        <f t="shared" si="5"/>
        <v>راسب</v>
      </c>
    </row>
    <row r="86" spans="1:10" ht="92.25" x14ac:dyDescent="0.2">
      <c r="A86" s="4">
        <v>82</v>
      </c>
      <c r="B86" s="64" t="s">
        <v>91</v>
      </c>
      <c r="C86" s="66">
        <v>6.5</v>
      </c>
      <c r="D86" s="66">
        <v>4</v>
      </c>
      <c r="E86" s="66">
        <v>5</v>
      </c>
      <c r="F86" s="74">
        <f t="shared" si="1"/>
        <v>15.5</v>
      </c>
      <c r="G86" s="75" t="str">
        <f t="shared" si="2"/>
        <v>مقبول</v>
      </c>
      <c r="H86" s="75" t="str">
        <f t="shared" si="3"/>
        <v>يُعاد</v>
      </c>
      <c r="I86" s="75" t="str">
        <f t="shared" si="4"/>
        <v>مقبول</v>
      </c>
      <c r="J86" s="76" t="str">
        <f t="shared" si="5"/>
        <v>مقبول</v>
      </c>
    </row>
    <row r="87" spans="1:10" ht="92.25" x14ac:dyDescent="0.2">
      <c r="A87" s="4">
        <v>83</v>
      </c>
      <c r="B87" s="64" t="s">
        <v>348</v>
      </c>
      <c r="C87" s="66">
        <v>8</v>
      </c>
      <c r="D87" s="66">
        <v>5.5</v>
      </c>
      <c r="E87" s="66">
        <v>2.2999999999999998</v>
      </c>
      <c r="F87" s="74">
        <f t="shared" si="1"/>
        <v>15.8</v>
      </c>
      <c r="G87" s="75" t="str">
        <f t="shared" si="2"/>
        <v>جيد جداً</v>
      </c>
      <c r="H87" s="75" t="str">
        <f t="shared" si="3"/>
        <v>مقبول</v>
      </c>
      <c r="I87" s="75" t="str">
        <f t="shared" si="4"/>
        <v>يُعاد</v>
      </c>
      <c r="J87" s="76" t="str">
        <f t="shared" si="5"/>
        <v>مقبول</v>
      </c>
    </row>
    <row r="88" spans="1:10" ht="92.25" x14ac:dyDescent="0.2">
      <c r="A88" s="4">
        <v>84</v>
      </c>
      <c r="B88" s="64" t="s">
        <v>87</v>
      </c>
      <c r="C88" s="66">
        <v>9.5</v>
      </c>
      <c r="D88" s="66">
        <v>6</v>
      </c>
      <c r="E88" s="66">
        <v>7.2</v>
      </c>
      <c r="F88" s="74">
        <f t="shared" si="1"/>
        <v>22.7</v>
      </c>
      <c r="G88" s="75" t="str">
        <f t="shared" si="2"/>
        <v>ممتاز</v>
      </c>
      <c r="H88" s="75" t="str">
        <f t="shared" si="3"/>
        <v>مقبول</v>
      </c>
      <c r="I88" s="75" t="str">
        <f t="shared" si="4"/>
        <v>جيد</v>
      </c>
      <c r="J88" s="76" t="str">
        <f t="shared" si="5"/>
        <v>جيد جداً</v>
      </c>
    </row>
    <row r="89" spans="1:10" ht="92.25" x14ac:dyDescent="0.2">
      <c r="A89" s="4">
        <v>85</v>
      </c>
      <c r="B89" s="64" t="s">
        <v>78</v>
      </c>
      <c r="C89" s="66">
        <v>10</v>
      </c>
      <c r="D89" s="66">
        <v>8</v>
      </c>
      <c r="E89" s="66">
        <v>10</v>
      </c>
      <c r="F89" s="74">
        <f t="shared" si="1"/>
        <v>28</v>
      </c>
      <c r="G89" s="75" t="str">
        <f t="shared" si="2"/>
        <v>ممتاز</v>
      </c>
      <c r="H89" s="75" t="str">
        <f t="shared" si="3"/>
        <v>جيد جداً</v>
      </c>
      <c r="I89" s="75" t="str">
        <f t="shared" si="4"/>
        <v>ممتاز</v>
      </c>
      <c r="J89" s="76" t="str">
        <f t="shared" si="5"/>
        <v>ممتاز</v>
      </c>
    </row>
    <row r="90" spans="1:10" ht="92.25" x14ac:dyDescent="0.2">
      <c r="A90" s="4">
        <v>86</v>
      </c>
      <c r="B90" s="64" t="s">
        <v>349</v>
      </c>
      <c r="C90" s="66">
        <v>9</v>
      </c>
      <c r="D90" s="66">
        <v>10</v>
      </c>
      <c r="E90" s="66">
        <v>10</v>
      </c>
      <c r="F90" s="74">
        <f t="shared" si="1"/>
        <v>29</v>
      </c>
      <c r="G90" s="75" t="str">
        <f t="shared" si="2"/>
        <v>ممتاز</v>
      </c>
      <c r="H90" s="75" t="str">
        <f t="shared" si="3"/>
        <v>ممتاز</v>
      </c>
      <c r="I90" s="75" t="str">
        <f t="shared" si="4"/>
        <v>ممتاز</v>
      </c>
      <c r="J90" s="76" t="str">
        <f t="shared" si="5"/>
        <v>ممتاز</v>
      </c>
    </row>
    <row r="91" spans="1:10" ht="92.25" x14ac:dyDescent="0.2">
      <c r="A91" s="4">
        <v>87</v>
      </c>
      <c r="B91" s="64" t="s">
        <v>402</v>
      </c>
      <c r="C91" s="66">
        <v>10</v>
      </c>
      <c r="D91" s="66">
        <v>8</v>
      </c>
      <c r="E91" s="66">
        <v>10</v>
      </c>
      <c r="F91" s="74">
        <f t="shared" si="1"/>
        <v>28</v>
      </c>
      <c r="G91" s="75" t="str">
        <f t="shared" si="2"/>
        <v>ممتاز</v>
      </c>
      <c r="H91" s="75" t="str">
        <f t="shared" si="3"/>
        <v>جيد جداً</v>
      </c>
      <c r="I91" s="75" t="str">
        <f t="shared" si="4"/>
        <v>ممتاز</v>
      </c>
      <c r="J91" s="76" t="str">
        <f t="shared" si="5"/>
        <v>ممتاز</v>
      </c>
    </row>
    <row r="92" spans="1:10" ht="92.25" x14ac:dyDescent="0.2">
      <c r="A92" s="4">
        <v>88</v>
      </c>
      <c r="B92" s="64" t="s">
        <v>85</v>
      </c>
      <c r="C92" s="66">
        <v>10</v>
      </c>
      <c r="D92" s="66">
        <v>10</v>
      </c>
      <c r="E92" s="66">
        <v>10</v>
      </c>
      <c r="F92" s="74">
        <f t="shared" ref="F92:F106" si="6">SUM(C92:E92)</f>
        <v>30</v>
      </c>
      <c r="G92" s="75" t="str">
        <f t="shared" ref="G92:G106" si="7">IF(C92&gt;=8.6,"ممتاز",IF(C92&gt;=7.6,"جيد جداً",IF(C92&gt;=6.6,"جيد",IF(C92&gt;=5,"مقبول","يُعاد"))))</f>
        <v>ممتاز</v>
      </c>
      <c r="H92" s="75" t="str">
        <f t="shared" ref="H92:H106" si="8">IF(D92&gt;=8.6,"ممتاز",IF(D92&gt;=7.6,"جيد جداً",IF(D92&gt;=6.6,"جيد",IF(D92&gt;=5,"مقبول","يُعاد"))))</f>
        <v>ممتاز</v>
      </c>
      <c r="I92" s="75" t="str">
        <f t="shared" ref="I92:I106" si="9">IF(E92&gt;=8.6,"ممتاز",IF(E92&gt;=7.6,"جيد جداً",IF(E92&gt;=6.6,"جيد",IF(E92&gt;=5,"مقبول","يُعاد"))))</f>
        <v>ممتاز</v>
      </c>
      <c r="J92" s="76" t="str">
        <f t="shared" si="5"/>
        <v>ممتاز</v>
      </c>
    </row>
    <row r="93" spans="1:10" ht="92.25" x14ac:dyDescent="0.2">
      <c r="A93" s="4">
        <v>89</v>
      </c>
      <c r="B93" s="64" t="s">
        <v>350</v>
      </c>
      <c r="C93" s="66"/>
      <c r="D93" s="66"/>
      <c r="E93" s="66"/>
      <c r="F93" s="74">
        <f t="shared" si="6"/>
        <v>0</v>
      </c>
      <c r="G93" s="75" t="str">
        <f t="shared" si="7"/>
        <v>يُعاد</v>
      </c>
      <c r="H93" s="75" t="str">
        <f t="shared" si="8"/>
        <v>يُعاد</v>
      </c>
      <c r="I93" s="75" t="str">
        <f t="shared" si="9"/>
        <v>يُعاد</v>
      </c>
      <c r="J93" s="76" t="str">
        <f t="shared" si="5"/>
        <v>راسب</v>
      </c>
    </row>
    <row r="94" spans="1:10" ht="92.25" x14ac:dyDescent="0.2">
      <c r="A94" s="4">
        <v>90</v>
      </c>
      <c r="B94" s="64" t="s">
        <v>387</v>
      </c>
      <c r="C94" s="66">
        <v>10</v>
      </c>
      <c r="D94" s="66">
        <v>10</v>
      </c>
      <c r="E94" s="66">
        <v>10</v>
      </c>
      <c r="F94" s="74">
        <f t="shared" si="6"/>
        <v>30</v>
      </c>
      <c r="G94" s="75" t="str">
        <f t="shared" si="7"/>
        <v>ممتاز</v>
      </c>
      <c r="H94" s="75" t="str">
        <f t="shared" si="8"/>
        <v>ممتاز</v>
      </c>
      <c r="I94" s="75" t="str">
        <f t="shared" si="9"/>
        <v>ممتاز</v>
      </c>
      <c r="J94" s="76" t="str">
        <f t="shared" si="5"/>
        <v>ممتاز</v>
      </c>
    </row>
    <row r="95" spans="1:10" ht="92.25" x14ac:dyDescent="0.2">
      <c r="A95" s="4">
        <v>91</v>
      </c>
      <c r="B95" s="64" t="s">
        <v>383</v>
      </c>
      <c r="C95" s="66"/>
      <c r="D95" s="66"/>
      <c r="E95" s="66"/>
      <c r="F95" s="74">
        <f t="shared" si="6"/>
        <v>0</v>
      </c>
      <c r="G95" s="75" t="str">
        <f t="shared" si="7"/>
        <v>يُعاد</v>
      </c>
      <c r="H95" s="75" t="str">
        <f t="shared" si="8"/>
        <v>يُعاد</v>
      </c>
      <c r="I95" s="75" t="str">
        <f t="shared" si="9"/>
        <v>يُعاد</v>
      </c>
      <c r="J95" s="76" t="str">
        <f t="shared" si="5"/>
        <v>راسب</v>
      </c>
    </row>
    <row r="96" spans="1:10" ht="92.25" x14ac:dyDescent="0.2">
      <c r="A96" s="4">
        <v>92</v>
      </c>
      <c r="B96" s="64" t="s">
        <v>384</v>
      </c>
      <c r="C96" s="66">
        <v>7.5</v>
      </c>
      <c r="D96" s="66">
        <v>7</v>
      </c>
      <c r="E96" s="66">
        <v>9.9</v>
      </c>
      <c r="F96" s="74">
        <f t="shared" si="6"/>
        <v>24.4</v>
      </c>
      <c r="G96" s="75" t="str">
        <f t="shared" si="7"/>
        <v>جيد</v>
      </c>
      <c r="H96" s="75" t="str">
        <f t="shared" si="8"/>
        <v>جيد</v>
      </c>
      <c r="I96" s="75" t="str">
        <f t="shared" si="9"/>
        <v>ممتاز</v>
      </c>
      <c r="J96" s="76" t="str">
        <f t="shared" si="5"/>
        <v>جيد جداً</v>
      </c>
    </row>
    <row r="97" spans="1:10" ht="92.25" x14ac:dyDescent="0.2">
      <c r="A97" s="4">
        <v>93</v>
      </c>
      <c r="B97" s="64" t="s">
        <v>385</v>
      </c>
      <c r="C97" s="66"/>
      <c r="D97" s="66"/>
      <c r="E97" s="66"/>
      <c r="F97" s="74">
        <f t="shared" si="6"/>
        <v>0</v>
      </c>
      <c r="G97" s="75" t="str">
        <f t="shared" si="7"/>
        <v>يُعاد</v>
      </c>
      <c r="H97" s="75" t="str">
        <f t="shared" si="8"/>
        <v>يُعاد</v>
      </c>
      <c r="I97" s="75" t="str">
        <f t="shared" si="9"/>
        <v>يُعاد</v>
      </c>
      <c r="J97" s="76" t="str">
        <f t="shared" si="5"/>
        <v>راسب</v>
      </c>
    </row>
    <row r="98" spans="1:10" ht="92.25" x14ac:dyDescent="0.2">
      <c r="A98" s="4">
        <v>94</v>
      </c>
      <c r="B98" s="64" t="s">
        <v>351</v>
      </c>
      <c r="C98" s="66"/>
      <c r="D98" s="66"/>
      <c r="E98" s="66"/>
      <c r="F98" s="74">
        <f t="shared" si="6"/>
        <v>0</v>
      </c>
      <c r="G98" s="75" t="str">
        <f t="shared" si="7"/>
        <v>يُعاد</v>
      </c>
      <c r="H98" s="75" t="str">
        <f t="shared" si="8"/>
        <v>يُعاد</v>
      </c>
      <c r="I98" s="75" t="str">
        <f t="shared" si="9"/>
        <v>يُعاد</v>
      </c>
      <c r="J98" s="76" t="str">
        <f t="shared" si="5"/>
        <v>راسب</v>
      </c>
    </row>
    <row r="99" spans="1:10" ht="92.25" x14ac:dyDescent="0.2">
      <c r="A99" s="4">
        <v>95</v>
      </c>
      <c r="B99" s="64" t="s">
        <v>352</v>
      </c>
      <c r="C99" s="66">
        <v>10</v>
      </c>
      <c r="D99" s="66">
        <v>10</v>
      </c>
      <c r="E99" s="66">
        <v>10</v>
      </c>
      <c r="F99" s="74">
        <f t="shared" si="6"/>
        <v>30</v>
      </c>
      <c r="G99" s="75" t="str">
        <f t="shared" si="7"/>
        <v>ممتاز</v>
      </c>
      <c r="H99" s="75" t="str">
        <f t="shared" si="8"/>
        <v>ممتاز</v>
      </c>
      <c r="I99" s="75" t="str">
        <f t="shared" si="9"/>
        <v>ممتاز</v>
      </c>
      <c r="J99" s="76" t="str">
        <f t="shared" si="5"/>
        <v>ممتاز</v>
      </c>
    </row>
    <row r="100" spans="1:10" ht="92.25" x14ac:dyDescent="0.2">
      <c r="A100" s="4">
        <v>96</v>
      </c>
      <c r="B100" s="64" t="s">
        <v>353</v>
      </c>
      <c r="C100" s="66">
        <v>6</v>
      </c>
      <c r="D100" s="66">
        <v>7</v>
      </c>
      <c r="E100" s="66"/>
      <c r="F100" s="74">
        <f t="shared" si="6"/>
        <v>13</v>
      </c>
      <c r="G100" s="75" t="str">
        <f t="shared" si="7"/>
        <v>مقبول</v>
      </c>
      <c r="H100" s="75" t="str">
        <f t="shared" si="8"/>
        <v>جيد</v>
      </c>
      <c r="I100" s="75" t="str">
        <f t="shared" si="9"/>
        <v>يُعاد</v>
      </c>
      <c r="J100" s="76" t="str">
        <f t="shared" si="5"/>
        <v>راسب</v>
      </c>
    </row>
    <row r="101" spans="1:10" ht="92.25" x14ac:dyDescent="0.2">
      <c r="A101" s="4">
        <v>97</v>
      </c>
      <c r="B101" s="64" t="s">
        <v>354</v>
      </c>
      <c r="C101" s="66">
        <v>10</v>
      </c>
      <c r="D101" s="66">
        <v>7</v>
      </c>
      <c r="E101" s="66">
        <v>7.2</v>
      </c>
      <c r="F101" s="74">
        <f t="shared" si="6"/>
        <v>24.2</v>
      </c>
      <c r="G101" s="75" t="str">
        <f t="shared" si="7"/>
        <v>ممتاز</v>
      </c>
      <c r="H101" s="75" t="str">
        <f t="shared" si="8"/>
        <v>جيد</v>
      </c>
      <c r="I101" s="75" t="str">
        <f t="shared" si="9"/>
        <v>جيد</v>
      </c>
      <c r="J101" s="76" t="str">
        <f t="shared" si="5"/>
        <v>جيد جداً</v>
      </c>
    </row>
    <row r="102" spans="1:10" ht="92.25" x14ac:dyDescent="0.2">
      <c r="A102" s="4">
        <v>98</v>
      </c>
      <c r="B102" s="64" t="s">
        <v>355</v>
      </c>
      <c r="C102" s="66"/>
      <c r="D102" s="66"/>
      <c r="E102" s="66"/>
      <c r="F102" s="74">
        <f t="shared" si="6"/>
        <v>0</v>
      </c>
      <c r="G102" s="75" t="str">
        <f t="shared" si="7"/>
        <v>يُعاد</v>
      </c>
      <c r="H102" s="75" t="str">
        <f t="shared" si="8"/>
        <v>يُعاد</v>
      </c>
      <c r="I102" s="75" t="str">
        <f t="shared" si="9"/>
        <v>يُعاد</v>
      </c>
      <c r="J102" s="76" t="str">
        <f t="shared" si="5"/>
        <v>راسب</v>
      </c>
    </row>
    <row r="103" spans="1:10" ht="92.25" x14ac:dyDescent="0.2">
      <c r="A103" s="4">
        <v>99</v>
      </c>
      <c r="B103" s="64" t="s">
        <v>82</v>
      </c>
      <c r="C103" s="66"/>
      <c r="D103" s="66"/>
      <c r="E103" s="66"/>
      <c r="F103" s="74">
        <f t="shared" si="6"/>
        <v>0</v>
      </c>
      <c r="G103" s="75" t="str">
        <f t="shared" si="7"/>
        <v>يُعاد</v>
      </c>
      <c r="H103" s="75" t="str">
        <f t="shared" si="8"/>
        <v>يُعاد</v>
      </c>
      <c r="I103" s="75" t="str">
        <f t="shared" si="9"/>
        <v>يُعاد</v>
      </c>
      <c r="J103" s="76" t="str">
        <f t="shared" si="5"/>
        <v>راسب</v>
      </c>
    </row>
    <row r="104" spans="1:10" ht="92.25" x14ac:dyDescent="0.2">
      <c r="A104" s="4">
        <v>100</v>
      </c>
      <c r="B104" s="64" t="s">
        <v>74</v>
      </c>
      <c r="C104" s="66">
        <v>8</v>
      </c>
      <c r="D104" s="66">
        <v>4</v>
      </c>
      <c r="E104" s="66">
        <v>10</v>
      </c>
      <c r="F104" s="74">
        <f t="shared" si="6"/>
        <v>22</v>
      </c>
      <c r="G104" s="75" t="str">
        <f t="shared" si="7"/>
        <v>جيد جداً</v>
      </c>
      <c r="H104" s="75" t="str">
        <f t="shared" si="8"/>
        <v>يُعاد</v>
      </c>
      <c r="I104" s="75" t="str">
        <f t="shared" si="9"/>
        <v>ممتاز</v>
      </c>
      <c r="J104" s="76" t="str">
        <f t="shared" si="5"/>
        <v>جيد جداً</v>
      </c>
    </row>
    <row r="105" spans="1:10" ht="92.25" x14ac:dyDescent="0.2">
      <c r="A105" s="4">
        <v>101</v>
      </c>
      <c r="B105" s="64" t="s">
        <v>356</v>
      </c>
      <c r="C105" s="66"/>
      <c r="D105" s="66"/>
      <c r="E105" s="66"/>
      <c r="F105" s="74">
        <f t="shared" si="6"/>
        <v>0</v>
      </c>
      <c r="G105" s="75" t="str">
        <f t="shared" si="7"/>
        <v>يُعاد</v>
      </c>
      <c r="H105" s="75" t="str">
        <f t="shared" si="8"/>
        <v>يُعاد</v>
      </c>
      <c r="I105" s="75" t="str">
        <f t="shared" si="9"/>
        <v>يُعاد</v>
      </c>
      <c r="J105" s="76" t="str">
        <f t="shared" si="5"/>
        <v>راسب</v>
      </c>
    </row>
    <row r="106" spans="1:10" ht="92.25" x14ac:dyDescent="0.2">
      <c r="A106" s="4">
        <v>102</v>
      </c>
      <c r="B106" s="64" t="s">
        <v>357</v>
      </c>
      <c r="C106" s="66">
        <v>5</v>
      </c>
      <c r="D106" s="66">
        <v>5</v>
      </c>
      <c r="E106" s="66">
        <v>4.4000000000000004</v>
      </c>
      <c r="F106" s="74">
        <f t="shared" si="6"/>
        <v>14.4</v>
      </c>
      <c r="G106" s="75" t="str">
        <f t="shared" si="7"/>
        <v>مقبول</v>
      </c>
      <c r="H106" s="75" t="str">
        <f t="shared" si="8"/>
        <v>مقبول</v>
      </c>
      <c r="I106" s="75" t="str">
        <f t="shared" si="9"/>
        <v>يُعاد</v>
      </c>
      <c r="J106" s="76" t="str">
        <f t="shared" si="5"/>
        <v>راسب</v>
      </c>
    </row>
  </sheetData>
  <mergeCells count="4">
    <mergeCell ref="A3:A4"/>
    <mergeCell ref="B3:B4"/>
    <mergeCell ref="F3:F4"/>
    <mergeCell ref="J3:J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rightToLeft="1" workbookViewId="0">
      <selection activeCell="Q24" sqref="A1:XFD1048576"/>
    </sheetView>
  </sheetViews>
  <sheetFormatPr defaultRowHeight="14.25" x14ac:dyDescent="0.2"/>
  <cols>
    <col min="2" max="2" width="43.125" customWidth="1"/>
    <col min="3" max="3" width="16.25" customWidth="1"/>
    <col min="4" max="4" width="15.625" customWidth="1"/>
    <col min="5" max="5" width="18.125" customWidth="1"/>
    <col min="6" max="6" width="16.125" customWidth="1"/>
    <col min="7" max="7" width="9" customWidth="1"/>
    <col min="8" max="8" width="18.5" bestFit="1" customWidth="1"/>
  </cols>
  <sheetData>
    <row r="1" spans="1:12" ht="23.25" x14ac:dyDescent="0.35">
      <c r="D1" s="32" t="s">
        <v>407</v>
      </c>
      <c r="E1" s="32"/>
      <c r="F1" s="32"/>
    </row>
    <row r="2" spans="1:12" ht="15" thickBot="1" x14ac:dyDescent="0.25"/>
    <row r="3" spans="1:12" ht="32.25" thickBot="1" x14ac:dyDescent="0.25">
      <c r="A3" s="40" t="s">
        <v>0</v>
      </c>
      <c r="B3" s="46" t="s">
        <v>1</v>
      </c>
      <c r="C3" s="50" t="s">
        <v>2</v>
      </c>
      <c r="D3" s="50" t="s">
        <v>4</v>
      </c>
      <c r="E3" s="50" t="s">
        <v>3</v>
      </c>
      <c r="F3" s="54" t="s">
        <v>378</v>
      </c>
      <c r="G3" s="42" t="s">
        <v>379</v>
      </c>
      <c r="H3" s="7" t="s">
        <v>2</v>
      </c>
      <c r="I3" s="5" t="s">
        <v>4</v>
      </c>
      <c r="J3" s="5" t="s">
        <v>3</v>
      </c>
      <c r="K3" s="5" t="s">
        <v>378</v>
      </c>
      <c r="L3" s="44" t="s">
        <v>380</v>
      </c>
    </row>
    <row r="4" spans="1:12" ht="19.5" customHeight="1" thickBot="1" x14ac:dyDescent="0.25">
      <c r="A4" s="41"/>
      <c r="B4" s="47"/>
      <c r="C4" s="50" t="s">
        <v>382</v>
      </c>
      <c r="D4" s="50" t="s">
        <v>382</v>
      </c>
      <c r="E4" s="50" t="s">
        <v>382</v>
      </c>
      <c r="F4" s="54" t="s">
        <v>382</v>
      </c>
      <c r="G4" s="43"/>
      <c r="H4" s="8" t="s">
        <v>381</v>
      </c>
      <c r="I4" s="6" t="s">
        <v>381</v>
      </c>
      <c r="J4" s="6" t="s">
        <v>381</v>
      </c>
      <c r="K4" s="6" t="s">
        <v>381</v>
      </c>
      <c r="L4" s="45"/>
    </row>
    <row r="5" spans="1:12" ht="31.5" x14ac:dyDescent="0.2">
      <c r="A5" s="4">
        <v>1</v>
      </c>
      <c r="B5" s="48" t="s">
        <v>358</v>
      </c>
      <c r="C5" s="51">
        <v>9</v>
      </c>
      <c r="D5" s="51">
        <v>10</v>
      </c>
      <c r="E5" s="53">
        <v>7.5</v>
      </c>
      <c r="F5" s="55">
        <v>10</v>
      </c>
      <c r="G5" s="9">
        <f t="shared" ref="G5:G27" si="0">SUM(C5:F5)</f>
        <v>36.5</v>
      </c>
      <c r="H5" s="10" t="str">
        <f>IF(C5&gt;=8.6,"ممتاز",IF(C5&gt;=7.5,"جيد جداً",IF(C5&gt;=6.5,"جيد",IF(C5&gt;=5,"مقبول","يُعاد"))))</f>
        <v>ممتاز</v>
      </c>
      <c r="I5" s="10" t="str">
        <f>IF(D5&gt;=8.6,"ممتاز",IF(D5&gt;=7.6,"جيد جداً",IF(D5&gt;=6.6,"جيد",IF(D5&gt;=5,"مقبول","يُعاد"))))</f>
        <v>ممتاز</v>
      </c>
      <c r="J5" s="10" t="str">
        <f>IF(E5&gt;=8.6,"ممتاز",IF(E5&gt;=7.6,"جيد جداً",IF(E5&gt;=6.6,"جيد",IF(E5&gt;=5,"مقبول","يُعاد"))))</f>
        <v>جيد</v>
      </c>
      <c r="K5" s="10" t="str">
        <f>IF(F5&gt;=8.6,"ممتاز",IF(F5&gt;=7.6,"جيد جداً",IF(F5&gt;=6.6,"جيد",IF(F5&gt;=5,"مقبول","يُعاد"))))</f>
        <v>ممتاز</v>
      </c>
      <c r="L5" s="11" t="str">
        <f>IF(G5&gt;=35,"ممتاز",IF(G5&gt;=31,"جيد جداً",IF(G5&gt;=26,"جيد",IF(G5&gt;=20,"مقبول","-"))))</f>
        <v>ممتاز</v>
      </c>
    </row>
    <row r="6" spans="1:12" ht="31.5" x14ac:dyDescent="0.2">
      <c r="A6" s="4">
        <v>2</v>
      </c>
      <c r="B6" s="48" t="s">
        <v>359</v>
      </c>
      <c r="C6" s="52">
        <v>9</v>
      </c>
      <c r="D6" s="52">
        <v>10</v>
      </c>
      <c r="E6" s="52">
        <v>9</v>
      </c>
      <c r="F6" s="56">
        <v>9.5</v>
      </c>
      <c r="G6" s="9">
        <f t="shared" si="0"/>
        <v>37.5</v>
      </c>
      <c r="H6" s="10" t="str">
        <f t="shared" ref="H6:K27" si="1">IF(C6&gt;=8.6,"ممتاز",IF(C6&gt;=7.6,"جيد جداً",IF(C6&gt;=6.6,"جيد",IF(C6&gt;=5,"مقبول","يُعاد"))))</f>
        <v>ممتاز</v>
      </c>
      <c r="I6" s="10" t="str">
        <f t="shared" si="1"/>
        <v>ممتاز</v>
      </c>
      <c r="J6" s="10" t="str">
        <f t="shared" si="1"/>
        <v>ممتاز</v>
      </c>
      <c r="K6" s="10" t="str">
        <f t="shared" si="1"/>
        <v>ممتاز</v>
      </c>
      <c r="L6" s="11" t="str">
        <f t="shared" ref="L6:L27" si="2">IF(G6&gt;=35,"ممتاز",IF(G6&gt;=31,"جيد جداً",IF(G6&gt;=26,"جيد",IF(G6&gt;=20,"مقبول","-"))))</f>
        <v>ممتاز</v>
      </c>
    </row>
    <row r="7" spans="1:12" ht="31.5" x14ac:dyDescent="0.2">
      <c r="A7" s="4">
        <v>3</v>
      </c>
      <c r="B7" s="48" t="s">
        <v>360</v>
      </c>
      <c r="C7" s="52"/>
      <c r="D7" s="52"/>
      <c r="E7" s="52"/>
      <c r="F7" s="56"/>
      <c r="G7" s="9">
        <f t="shared" si="0"/>
        <v>0</v>
      </c>
      <c r="H7" s="10" t="str">
        <f t="shared" si="1"/>
        <v>يُعاد</v>
      </c>
      <c r="I7" s="10" t="str">
        <f t="shared" si="1"/>
        <v>يُعاد</v>
      </c>
      <c r="J7" s="10" t="str">
        <f t="shared" si="1"/>
        <v>يُعاد</v>
      </c>
      <c r="K7" s="10" t="str">
        <f t="shared" si="1"/>
        <v>يُعاد</v>
      </c>
      <c r="L7" s="11" t="str">
        <f t="shared" si="2"/>
        <v>-</v>
      </c>
    </row>
    <row r="8" spans="1:12" ht="31.5" x14ac:dyDescent="0.2">
      <c r="A8" s="4">
        <v>4</v>
      </c>
      <c r="B8" s="48" t="s">
        <v>361</v>
      </c>
      <c r="C8" s="52">
        <v>9</v>
      </c>
      <c r="D8" s="52">
        <v>10</v>
      </c>
      <c r="E8" s="52">
        <v>9</v>
      </c>
      <c r="F8" s="56">
        <v>10</v>
      </c>
      <c r="G8" s="9">
        <f t="shared" si="0"/>
        <v>38</v>
      </c>
      <c r="H8" s="10" t="str">
        <f t="shared" si="1"/>
        <v>ممتاز</v>
      </c>
      <c r="I8" s="10" t="str">
        <f t="shared" si="1"/>
        <v>ممتاز</v>
      </c>
      <c r="J8" s="10" t="str">
        <f t="shared" si="1"/>
        <v>ممتاز</v>
      </c>
      <c r="K8" s="10" t="str">
        <f t="shared" si="1"/>
        <v>ممتاز</v>
      </c>
      <c r="L8" s="11" t="str">
        <f t="shared" si="2"/>
        <v>ممتاز</v>
      </c>
    </row>
    <row r="9" spans="1:12" ht="31.5" x14ac:dyDescent="0.2">
      <c r="A9" s="4">
        <v>5</v>
      </c>
      <c r="B9" s="48" t="s">
        <v>362</v>
      </c>
      <c r="C9" s="52">
        <v>10</v>
      </c>
      <c r="D9" s="52">
        <v>7</v>
      </c>
      <c r="E9" s="52">
        <v>9</v>
      </c>
      <c r="F9" s="56">
        <v>10</v>
      </c>
      <c r="G9" s="9">
        <f t="shared" si="0"/>
        <v>36</v>
      </c>
      <c r="H9" s="10" t="str">
        <f t="shared" si="1"/>
        <v>ممتاز</v>
      </c>
      <c r="I9" s="10" t="str">
        <f t="shared" si="1"/>
        <v>جيد</v>
      </c>
      <c r="J9" s="10" t="str">
        <f t="shared" si="1"/>
        <v>ممتاز</v>
      </c>
      <c r="K9" s="10" t="str">
        <f t="shared" si="1"/>
        <v>ممتاز</v>
      </c>
      <c r="L9" s="11" t="str">
        <f t="shared" si="2"/>
        <v>ممتاز</v>
      </c>
    </row>
    <row r="10" spans="1:12" ht="31.5" x14ac:dyDescent="0.2">
      <c r="A10" s="4">
        <v>6</v>
      </c>
      <c r="B10" s="48" t="s">
        <v>363</v>
      </c>
      <c r="C10" s="52"/>
      <c r="D10" s="52"/>
      <c r="E10" s="52"/>
      <c r="F10" s="56"/>
      <c r="G10" s="9">
        <f t="shared" si="0"/>
        <v>0</v>
      </c>
      <c r="H10" s="10" t="str">
        <f t="shared" si="1"/>
        <v>يُعاد</v>
      </c>
      <c r="I10" s="10" t="str">
        <f t="shared" si="1"/>
        <v>يُعاد</v>
      </c>
      <c r="J10" s="10" t="str">
        <f t="shared" si="1"/>
        <v>يُعاد</v>
      </c>
      <c r="K10" s="10" t="str">
        <f t="shared" si="1"/>
        <v>يُعاد</v>
      </c>
      <c r="L10" s="11" t="str">
        <f t="shared" si="2"/>
        <v>-</v>
      </c>
    </row>
    <row r="11" spans="1:12" ht="31.5" x14ac:dyDescent="0.2">
      <c r="A11" s="4">
        <v>7</v>
      </c>
      <c r="B11" s="48" t="s">
        <v>364</v>
      </c>
      <c r="C11" s="52"/>
      <c r="D11" s="52"/>
      <c r="E11" s="52"/>
      <c r="F11" s="56"/>
      <c r="G11" s="9">
        <f t="shared" si="0"/>
        <v>0</v>
      </c>
      <c r="H11" s="10" t="str">
        <f t="shared" si="1"/>
        <v>يُعاد</v>
      </c>
      <c r="I11" s="10" t="str">
        <f t="shared" si="1"/>
        <v>يُعاد</v>
      </c>
      <c r="J11" s="10" t="str">
        <f t="shared" si="1"/>
        <v>يُعاد</v>
      </c>
      <c r="K11" s="10" t="str">
        <f t="shared" si="1"/>
        <v>يُعاد</v>
      </c>
      <c r="L11" s="11" t="str">
        <f t="shared" si="2"/>
        <v>-</v>
      </c>
    </row>
    <row r="12" spans="1:12" ht="31.5" x14ac:dyDescent="0.2">
      <c r="A12" s="4">
        <v>8</v>
      </c>
      <c r="B12" s="48" t="s">
        <v>365</v>
      </c>
      <c r="C12" s="52"/>
      <c r="D12" s="52"/>
      <c r="E12" s="52"/>
      <c r="F12" s="56"/>
      <c r="G12" s="9">
        <f t="shared" si="0"/>
        <v>0</v>
      </c>
      <c r="H12" s="10" t="str">
        <f t="shared" si="1"/>
        <v>يُعاد</v>
      </c>
      <c r="I12" s="10" t="str">
        <f t="shared" si="1"/>
        <v>يُعاد</v>
      </c>
      <c r="J12" s="10" t="str">
        <f t="shared" si="1"/>
        <v>يُعاد</v>
      </c>
      <c r="K12" s="10" t="str">
        <f t="shared" si="1"/>
        <v>يُعاد</v>
      </c>
      <c r="L12" s="11" t="str">
        <f t="shared" si="2"/>
        <v>-</v>
      </c>
    </row>
    <row r="13" spans="1:12" ht="31.5" x14ac:dyDescent="0.2">
      <c r="A13" s="4">
        <v>9</v>
      </c>
      <c r="B13" s="48" t="s">
        <v>404</v>
      </c>
      <c r="C13" s="52">
        <v>10</v>
      </c>
      <c r="D13" s="52">
        <v>10</v>
      </c>
      <c r="E13" s="52">
        <v>10</v>
      </c>
      <c r="F13" s="56">
        <v>9.5</v>
      </c>
      <c r="G13" s="9">
        <f t="shared" si="0"/>
        <v>39.5</v>
      </c>
      <c r="H13" s="10" t="str">
        <f t="shared" si="1"/>
        <v>ممتاز</v>
      </c>
      <c r="I13" s="10" t="str">
        <f t="shared" si="1"/>
        <v>ممتاز</v>
      </c>
      <c r="J13" s="10" t="str">
        <f t="shared" si="1"/>
        <v>ممتاز</v>
      </c>
      <c r="K13" s="10" t="str">
        <f t="shared" si="1"/>
        <v>ممتاز</v>
      </c>
      <c r="L13" s="11" t="str">
        <f t="shared" si="2"/>
        <v>ممتاز</v>
      </c>
    </row>
    <row r="14" spans="1:12" ht="31.5" x14ac:dyDescent="0.2">
      <c r="A14" s="4">
        <v>10</v>
      </c>
      <c r="B14" s="48" t="s">
        <v>366</v>
      </c>
      <c r="C14" s="52"/>
      <c r="D14" s="52"/>
      <c r="E14" s="52"/>
      <c r="F14" s="56"/>
      <c r="G14" s="9">
        <f t="shared" si="0"/>
        <v>0</v>
      </c>
      <c r="H14" s="10" t="str">
        <f t="shared" si="1"/>
        <v>يُعاد</v>
      </c>
      <c r="I14" s="10" t="str">
        <f t="shared" si="1"/>
        <v>يُعاد</v>
      </c>
      <c r="J14" s="10" t="str">
        <f t="shared" si="1"/>
        <v>يُعاد</v>
      </c>
      <c r="K14" s="10" t="str">
        <f t="shared" si="1"/>
        <v>يُعاد</v>
      </c>
      <c r="L14" s="11" t="str">
        <f t="shared" si="2"/>
        <v>-</v>
      </c>
    </row>
    <row r="15" spans="1:12" ht="31.5" x14ac:dyDescent="0.2">
      <c r="A15" s="4">
        <v>11</v>
      </c>
      <c r="B15" s="48" t="s">
        <v>367</v>
      </c>
      <c r="C15" s="52"/>
      <c r="D15" s="52"/>
      <c r="E15" s="52"/>
      <c r="F15" s="56"/>
      <c r="G15" s="9">
        <f t="shared" si="0"/>
        <v>0</v>
      </c>
      <c r="H15" s="10" t="str">
        <f t="shared" si="1"/>
        <v>يُعاد</v>
      </c>
      <c r="I15" s="10" t="str">
        <f t="shared" si="1"/>
        <v>يُعاد</v>
      </c>
      <c r="J15" s="10" t="str">
        <f t="shared" si="1"/>
        <v>يُعاد</v>
      </c>
      <c r="K15" s="10" t="str">
        <f t="shared" si="1"/>
        <v>يُعاد</v>
      </c>
      <c r="L15" s="11" t="str">
        <f t="shared" si="2"/>
        <v>-</v>
      </c>
    </row>
    <row r="16" spans="1:12" ht="31.5" x14ac:dyDescent="0.2">
      <c r="A16" s="4">
        <v>12</v>
      </c>
      <c r="B16" s="48" t="s">
        <v>368</v>
      </c>
      <c r="C16" s="52"/>
      <c r="D16" s="52"/>
      <c r="E16" s="52"/>
      <c r="F16" s="56"/>
      <c r="G16" s="9">
        <f t="shared" si="0"/>
        <v>0</v>
      </c>
      <c r="H16" s="10" t="str">
        <f t="shared" si="1"/>
        <v>يُعاد</v>
      </c>
      <c r="I16" s="10" t="str">
        <f t="shared" si="1"/>
        <v>يُعاد</v>
      </c>
      <c r="J16" s="10" t="str">
        <f t="shared" si="1"/>
        <v>يُعاد</v>
      </c>
      <c r="K16" s="10" t="str">
        <f t="shared" si="1"/>
        <v>يُعاد</v>
      </c>
      <c r="L16" s="11" t="str">
        <f t="shared" si="2"/>
        <v>-</v>
      </c>
    </row>
    <row r="17" spans="1:12" ht="31.5" x14ac:dyDescent="0.2">
      <c r="A17" s="4">
        <v>13</v>
      </c>
      <c r="B17" s="48" t="s">
        <v>369</v>
      </c>
      <c r="C17" s="52"/>
      <c r="D17" s="52"/>
      <c r="E17" s="52"/>
      <c r="F17" s="56"/>
      <c r="G17" s="9">
        <f t="shared" si="0"/>
        <v>0</v>
      </c>
      <c r="H17" s="10" t="str">
        <f t="shared" si="1"/>
        <v>يُعاد</v>
      </c>
      <c r="I17" s="10" t="str">
        <f t="shared" si="1"/>
        <v>يُعاد</v>
      </c>
      <c r="J17" s="10" t="str">
        <f t="shared" si="1"/>
        <v>يُعاد</v>
      </c>
      <c r="K17" s="10" t="str">
        <f t="shared" si="1"/>
        <v>يُعاد</v>
      </c>
      <c r="L17" s="11" t="str">
        <f t="shared" si="2"/>
        <v>-</v>
      </c>
    </row>
    <row r="18" spans="1:12" ht="31.5" x14ac:dyDescent="0.2">
      <c r="A18" s="4">
        <v>14</v>
      </c>
      <c r="B18" s="48" t="s">
        <v>93</v>
      </c>
      <c r="C18" s="52"/>
      <c r="D18" s="52"/>
      <c r="E18" s="52"/>
      <c r="F18" s="56"/>
      <c r="G18" s="9">
        <f t="shared" si="0"/>
        <v>0</v>
      </c>
      <c r="H18" s="10" t="str">
        <f t="shared" si="1"/>
        <v>يُعاد</v>
      </c>
      <c r="I18" s="10" t="str">
        <f t="shared" si="1"/>
        <v>يُعاد</v>
      </c>
      <c r="J18" s="10" t="str">
        <f t="shared" si="1"/>
        <v>يُعاد</v>
      </c>
      <c r="K18" s="10" t="str">
        <f t="shared" si="1"/>
        <v>يُعاد</v>
      </c>
      <c r="L18" s="11" t="str">
        <f t="shared" si="2"/>
        <v>-</v>
      </c>
    </row>
    <row r="19" spans="1:12" ht="31.5" x14ac:dyDescent="0.2">
      <c r="A19" s="4">
        <v>15</v>
      </c>
      <c r="B19" s="48" t="s">
        <v>370</v>
      </c>
      <c r="C19" s="52">
        <v>9</v>
      </c>
      <c r="D19" s="52">
        <v>10</v>
      </c>
      <c r="E19" s="52">
        <v>9</v>
      </c>
      <c r="F19" s="56">
        <v>9.5</v>
      </c>
      <c r="G19" s="9">
        <f t="shared" si="0"/>
        <v>37.5</v>
      </c>
      <c r="H19" s="10" t="str">
        <f t="shared" si="1"/>
        <v>ممتاز</v>
      </c>
      <c r="I19" s="10" t="str">
        <f t="shared" si="1"/>
        <v>ممتاز</v>
      </c>
      <c r="J19" s="10" t="str">
        <f t="shared" si="1"/>
        <v>ممتاز</v>
      </c>
      <c r="K19" s="10" t="str">
        <f t="shared" si="1"/>
        <v>ممتاز</v>
      </c>
      <c r="L19" s="11" t="str">
        <f t="shared" si="2"/>
        <v>ممتاز</v>
      </c>
    </row>
    <row r="20" spans="1:12" ht="31.5" x14ac:dyDescent="0.2">
      <c r="A20" s="4">
        <v>16</v>
      </c>
      <c r="B20" s="48" t="s">
        <v>371</v>
      </c>
      <c r="C20" s="52"/>
      <c r="D20" s="52"/>
      <c r="E20" s="52"/>
      <c r="F20" s="56"/>
      <c r="G20" s="9">
        <f t="shared" si="0"/>
        <v>0</v>
      </c>
      <c r="H20" s="10" t="str">
        <f t="shared" si="1"/>
        <v>يُعاد</v>
      </c>
      <c r="I20" s="10" t="str">
        <f t="shared" si="1"/>
        <v>يُعاد</v>
      </c>
      <c r="J20" s="10" t="str">
        <f t="shared" si="1"/>
        <v>يُعاد</v>
      </c>
      <c r="K20" s="10" t="str">
        <f t="shared" si="1"/>
        <v>يُعاد</v>
      </c>
      <c r="L20" s="11" t="str">
        <f t="shared" si="2"/>
        <v>-</v>
      </c>
    </row>
    <row r="21" spans="1:12" ht="31.5" x14ac:dyDescent="0.2">
      <c r="A21" s="4">
        <v>17</v>
      </c>
      <c r="B21" s="48" t="s">
        <v>372</v>
      </c>
      <c r="C21" s="52"/>
      <c r="D21" s="52"/>
      <c r="E21" s="52"/>
      <c r="F21" s="56"/>
      <c r="G21" s="9">
        <f t="shared" si="0"/>
        <v>0</v>
      </c>
      <c r="H21" s="10" t="str">
        <f t="shared" si="1"/>
        <v>يُعاد</v>
      </c>
      <c r="I21" s="10" t="str">
        <f t="shared" si="1"/>
        <v>يُعاد</v>
      </c>
      <c r="J21" s="10" t="str">
        <f t="shared" si="1"/>
        <v>يُعاد</v>
      </c>
      <c r="K21" s="10" t="str">
        <f t="shared" si="1"/>
        <v>يُعاد</v>
      </c>
      <c r="L21" s="11" t="str">
        <f t="shared" si="2"/>
        <v>-</v>
      </c>
    </row>
    <row r="22" spans="1:12" ht="31.5" x14ac:dyDescent="0.2">
      <c r="A22" s="4">
        <v>18</v>
      </c>
      <c r="B22" s="48" t="s">
        <v>373</v>
      </c>
      <c r="C22" s="52"/>
      <c r="D22" s="52"/>
      <c r="E22" s="52"/>
      <c r="F22" s="56"/>
      <c r="G22" s="9">
        <f t="shared" si="0"/>
        <v>0</v>
      </c>
      <c r="H22" s="10" t="str">
        <f t="shared" si="1"/>
        <v>يُعاد</v>
      </c>
      <c r="I22" s="10" t="str">
        <f t="shared" si="1"/>
        <v>يُعاد</v>
      </c>
      <c r="J22" s="10" t="str">
        <f t="shared" si="1"/>
        <v>يُعاد</v>
      </c>
      <c r="K22" s="10" t="str">
        <f t="shared" si="1"/>
        <v>يُعاد</v>
      </c>
      <c r="L22" s="11" t="str">
        <f t="shared" si="2"/>
        <v>-</v>
      </c>
    </row>
    <row r="23" spans="1:12" ht="31.5" x14ac:dyDescent="0.2">
      <c r="A23" s="4">
        <v>19</v>
      </c>
      <c r="B23" s="48" t="s">
        <v>374</v>
      </c>
      <c r="C23" s="52">
        <v>9</v>
      </c>
      <c r="D23" s="52">
        <v>10</v>
      </c>
      <c r="E23" s="52">
        <v>10</v>
      </c>
      <c r="F23" s="56">
        <v>10</v>
      </c>
      <c r="G23" s="9">
        <f t="shared" si="0"/>
        <v>39</v>
      </c>
      <c r="H23" s="10" t="str">
        <f t="shared" si="1"/>
        <v>ممتاز</v>
      </c>
      <c r="I23" s="10" t="str">
        <f t="shared" si="1"/>
        <v>ممتاز</v>
      </c>
      <c r="J23" s="10" t="str">
        <f t="shared" si="1"/>
        <v>ممتاز</v>
      </c>
      <c r="K23" s="10" t="str">
        <f t="shared" si="1"/>
        <v>ممتاز</v>
      </c>
      <c r="L23" s="11" t="str">
        <f t="shared" si="2"/>
        <v>ممتاز</v>
      </c>
    </row>
    <row r="24" spans="1:12" ht="31.5" x14ac:dyDescent="0.2">
      <c r="A24" s="4">
        <v>20</v>
      </c>
      <c r="B24" s="48" t="s">
        <v>375</v>
      </c>
      <c r="C24" s="52"/>
      <c r="D24" s="52"/>
      <c r="E24" s="52"/>
      <c r="F24" s="56"/>
      <c r="G24" s="9">
        <f t="shared" si="0"/>
        <v>0</v>
      </c>
      <c r="H24" s="10" t="str">
        <f t="shared" si="1"/>
        <v>يُعاد</v>
      </c>
      <c r="I24" s="10" t="str">
        <f t="shared" si="1"/>
        <v>يُعاد</v>
      </c>
      <c r="J24" s="10" t="str">
        <f t="shared" si="1"/>
        <v>يُعاد</v>
      </c>
      <c r="K24" s="10" t="str">
        <f t="shared" si="1"/>
        <v>يُعاد</v>
      </c>
      <c r="L24" s="11" t="str">
        <f t="shared" si="2"/>
        <v>-</v>
      </c>
    </row>
    <row r="25" spans="1:12" ht="31.5" x14ac:dyDescent="0.2">
      <c r="A25" s="4">
        <v>21</v>
      </c>
      <c r="B25" s="48" t="s">
        <v>376</v>
      </c>
      <c r="C25" s="52"/>
      <c r="D25" s="52"/>
      <c r="E25" s="52"/>
      <c r="F25" s="56"/>
      <c r="G25" s="9">
        <f t="shared" si="0"/>
        <v>0</v>
      </c>
      <c r="H25" s="10" t="str">
        <f t="shared" si="1"/>
        <v>يُعاد</v>
      </c>
      <c r="I25" s="10" t="str">
        <f t="shared" si="1"/>
        <v>يُعاد</v>
      </c>
      <c r="J25" s="10" t="str">
        <f t="shared" si="1"/>
        <v>يُعاد</v>
      </c>
      <c r="K25" s="10" t="str">
        <f t="shared" si="1"/>
        <v>يُعاد</v>
      </c>
      <c r="L25" s="11" t="str">
        <f t="shared" si="2"/>
        <v>-</v>
      </c>
    </row>
    <row r="26" spans="1:12" ht="31.5" x14ac:dyDescent="0.2">
      <c r="A26" s="4">
        <v>22</v>
      </c>
      <c r="B26" s="48" t="s">
        <v>377</v>
      </c>
      <c r="C26" s="52"/>
      <c r="D26" s="52"/>
      <c r="E26" s="52"/>
      <c r="F26" s="56"/>
      <c r="G26" s="9">
        <f t="shared" si="0"/>
        <v>0</v>
      </c>
      <c r="H26" s="10" t="str">
        <f t="shared" si="1"/>
        <v>يُعاد</v>
      </c>
      <c r="I26" s="10" t="str">
        <f t="shared" si="1"/>
        <v>يُعاد</v>
      </c>
      <c r="J26" s="10" t="str">
        <f t="shared" si="1"/>
        <v>يُعاد</v>
      </c>
      <c r="K26" s="10" t="str">
        <f t="shared" si="1"/>
        <v>يُعاد</v>
      </c>
      <c r="L26" s="11" t="str">
        <f t="shared" si="2"/>
        <v>-</v>
      </c>
    </row>
    <row r="27" spans="1:12" ht="32.25" thickBot="1" x14ac:dyDescent="0.25">
      <c r="A27" s="4">
        <v>23</v>
      </c>
      <c r="B27" s="60" t="s">
        <v>393</v>
      </c>
      <c r="C27" s="52">
        <v>10</v>
      </c>
      <c r="D27" s="52">
        <v>10</v>
      </c>
      <c r="E27" s="52">
        <v>9</v>
      </c>
      <c r="F27" s="56">
        <v>9.5</v>
      </c>
      <c r="G27" s="9">
        <f t="shared" si="0"/>
        <v>38.5</v>
      </c>
      <c r="H27" s="10" t="str">
        <f t="shared" si="1"/>
        <v>ممتاز</v>
      </c>
      <c r="I27" s="10" t="str">
        <f t="shared" si="1"/>
        <v>ممتاز</v>
      </c>
      <c r="J27" s="10" t="str">
        <f t="shared" si="1"/>
        <v>ممتاز</v>
      </c>
      <c r="K27" s="10" t="str">
        <f t="shared" si="1"/>
        <v>ممتاز</v>
      </c>
      <c r="L27" s="11" t="str">
        <f t="shared" si="2"/>
        <v>ممتاز</v>
      </c>
    </row>
    <row r="49" spans="1:1" ht="30" x14ac:dyDescent="0.4">
      <c r="A49" s="49"/>
    </row>
    <row r="50" spans="1:1" ht="30" x14ac:dyDescent="0.4">
      <c r="A50" s="49"/>
    </row>
    <row r="51" spans="1:1" ht="30" x14ac:dyDescent="0.4">
      <c r="A51" s="49"/>
    </row>
    <row r="52" spans="1:1" ht="30" x14ac:dyDescent="0.4">
      <c r="A52" s="49"/>
    </row>
    <row r="53" spans="1:1" ht="30" x14ac:dyDescent="0.4">
      <c r="A53" s="49"/>
    </row>
    <row r="54" spans="1:1" ht="30" x14ac:dyDescent="0.4">
      <c r="A54" s="49"/>
    </row>
    <row r="55" spans="1:1" ht="30" x14ac:dyDescent="0.4">
      <c r="A55" s="49"/>
    </row>
    <row r="56" spans="1:1" ht="30" x14ac:dyDescent="0.4">
      <c r="A56" s="49"/>
    </row>
    <row r="57" spans="1:1" ht="30" x14ac:dyDescent="0.4">
      <c r="A57" s="49"/>
    </row>
    <row r="58" spans="1:1" ht="30" x14ac:dyDescent="0.4">
      <c r="A58" s="49"/>
    </row>
    <row r="59" spans="1:1" ht="30" x14ac:dyDescent="0.4">
      <c r="A59" s="49"/>
    </row>
    <row r="60" spans="1:1" ht="30" x14ac:dyDescent="0.4">
      <c r="A60" s="49"/>
    </row>
  </sheetData>
  <mergeCells count="4">
    <mergeCell ref="A3:A4"/>
    <mergeCell ref="B3:B4"/>
    <mergeCell ref="G3:G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حضانة</vt:lpstr>
      <vt:lpstr>حضانة3</vt:lpstr>
      <vt:lpstr>اولى </vt:lpstr>
      <vt:lpstr>تانية</vt:lpstr>
      <vt:lpstr>ثالثة</vt:lpstr>
      <vt:lpstr>رابعة</vt:lpstr>
      <vt:lpstr>خامسة</vt:lpstr>
      <vt:lpstr>سادسة</vt:lpstr>
      <vt:lpstr>اعدادى</vt:lpstr>
      <vt:lpstr>كبار</vt:lpstr>
      <vt:lpstr>حضانة!Print_Titles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2026-05-08T21:17:50Z</dcterms:modified>
</cp:coreProperties>
</file>